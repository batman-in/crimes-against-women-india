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Sheet" sheetId="1" r:id="rId1"/>
  </sheets>
  <definedNames>
    <definedName name="OLE_LINK1" localSheetId="0">Sheet!$A$46</definedName>
    <definedName name="_xlnm.Print_Area" localSheetId="0">Sheet!$A$1:$H$48</definedName>
  </definedNames>
  <calcPr calcId="144525"/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9" i="1"/>
  <c r="F38" i="1"/>
  <c r="F37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<sst xmlns="http://schemas.openxmlformats.org/spreadsheetml/2006/main" count="52" uniqueCount="52">
  <si>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</si>
  <si>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</si>
  <si>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</si>
  <si>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</si>
  <si>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</si>
  <si>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</si>
  <si>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</si>
  <si>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</si>
  <si>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</si>
  <si>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</si>
  <si>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</si>
  <si>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</si>
  <si>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</si>
  <si>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</si>
  <si>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</si>
  <si>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</si>
  <si>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</si>
  <si>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</si>
  <si>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</si>
  <si>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</si>
  <si>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</si>
  <si>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</si>
  <si>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</si>
  <si>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</si>
  <si>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</si>
  <si>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</si>
  <si>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</si>
  <si>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</si>
  <si>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</si>
  <si>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</si>
  <si>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</si>
  <si>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</si>
  <si>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</si>
  <si>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</si>
  <si>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</si>
  <si>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</si>
  <si>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</si>
  <si>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</si>
  <si>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</si>
  <si>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</si>
  <si>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 xml:space="preserve">TOTAL ALL INDIA </t>
  </si>
  <si>
    <t xml:space="preserve">TABLE 3A.1 </t>
  </si>
  <si>
    <t>S. No.</t>
  </si>
  <si>
    <t>State/UT</t>
  </si>
  <si>
    <t>Crime against Women (IPC + SLL) - 2015-2017</t>
  </si>
  <si>
    <r>
      <t>Note :  i) ++</t>
    </r>
    <r>
      <rPr>
        <sz val="9"/>
        <color rgb="FFFFFFFF"/>
        <rFont val="Calibri"/>
        <family val="2"/>
        <scheme val="minor"/>
      </rPr>
      <t>'</t>
    </r>
    <r>
      <rPr>
        <sz val="9"/>
        <color rgb="FF000000"/>
        <rFont val="Calibri"/>
        <family val="2"/>
        <scheme val="minor"/>
      </rPr>
      <t xml:space="preserve"> Crime Rate is calculated as Crime per one lakh of population.</t>
    </r>
  </si>
  <si>
    <t>Rate of Total Crime against Women (2017)++</t>
  </si>
  <si>
    <t xml:space="preserve">            ii) + Population Source: Registrar General of India estimated population of 2017 based on 2001 Census.</t>
  </si>
  <si>
    <t>Percentage State Share To All-India (2017)</t>
  </si>
  <si>
    <t>TABLE 3A.1 Page 1 of 1</t>
  </si>
  <si>
    <t>Mid-Year Projected Female Population (In Lakhs) (2017)+</t>
  </si>
  <si>
    <t>III)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</si>
</sst>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21" fillId="0" borderId="0" xfId="0" quotePrefix="1" applyFont="1" applyFill="1" applyAlignment="1">
      <alignment vertical="center"/>
    </xf>
    <xf numFmtId="0" fontId="19" fillId="0" borderId="0" xfId="0" applyFont="1" applyFill="1"/>
    <xf numFmtId="0" fontId="19" fillId="0" borderId="0" xfId="0" applyFont="1" applyFill="1" applyAlignment="1">
      <alignment horizontal="right" wrapText="1"/>
    </xf>
    <xf numFmtId="0" fontId="20" fillId="0" borderId="0" xfId="0" applyFont="1" applyFill="1"/>
    <xf numFmtId="0" fontId="19" fillId="0" borderId="0" xfId="0" quotePrefix="1" applyFont="1" applyFill="1"/>
    <xf numFmtId="0" fontId="16" fillId="34" borderId="10" xfId="0" applyFont="1" applyFill="1" applyBorder="1" applyAlignment="1">
      <alignment vertical="center" wrapText="1"/>
    </xf>
    <xf numFmtId="0" fontId="16" fillId="34" borderId="12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34" borderId="13" xfId="0" applyFill="1" applyBorder="1" applyAlignment="1">
      <alignment horizontal="center" vertical="center" wrapText="1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0" fontId="0" fillId="33" borderId="13" xfId="0" applyFill="1" applyBorder="1" applyAlignment="1">
      <alignment vertical="center" wrapText="1"/>
    </xf>
    <xf numFmtId="0" fontId="16" fillId="33" borderId="0" xfId="0" applyFont="1" applyFill="1" applyBorder="1" applyAlignment="1">
      <alignment vertical="center" wrapText="1"/>
    </xf>
    <xf numFmtId="0" fontId="16" fillId="33" borderId="0" xfId="0" applyFont="1" applyFill="1" applyBorder="1" applyAlignment="1">
      <alignment vertical="center"/>
    </xf>
    <xf numFmtId="0" fontId="16" fillId="34" borderId="0" xfId="0" applyFont="1" applyFill="1" applyBorder="1" applyAlignment="1">
      <alignment vertical="center" wrapText="1"/>
    </xf>
    <xf numFmtId="0" fontId="0" fillId="33" borderId="14" xfId="0" applyFill="1" applyBorder="1" applyAlignment="1">
      <alignment vertical="center" wrapText="1"/>
    </xf>
    <xf numFmtId="0" fontId="16" fillId="33" borderId="15" xfId="0" applyFont="1" applyFill="1" applyBorder="1" applyAlignment="1">
      <alignment vertical="center" wrapText="1"/>
    </xf>
    <xf numFmtId="0" fontId="16" fillId="33" borderId="15" xfId="0" applyFont="1" applyFill="1" applyBorder="1" applyAlignment="1">
      <alignment vertical="center"/>
    </xf>
    <xf numFmtId="0" fontId="16" fillId="33" borderId="19" xfId="0" applyFont="1" applyFill="1" applyBorder="1" applyAlignment="1">
      <alignment horizontal="center" wrapText="1"/>
    </xf>
    <xf numFmtId="0" fontId="22" fillId="0" borderId="0" xfId="0" applyFont="1" applyFill="1" applyAlignment="1">
      <alignment vertical="center"/>
    </xf>
    <xf numFmtId="164" fontId="0" fillId="0" borderId="0" xfId="0" applyNumberFormat="1" applyFill="1" applyBorder="1" applyAlignment="1">
      <alignment vertical="center"/>
    </xf>
    <xf numFmtId="164" fontId="0" fillId="34" borderId="0" xfId="0" applyNumberFormat="1" applyFill="1" applyBorder="1" applyAlignment="1">
      <alignment vertical="center"/>
    </xf>
    <xf numFmtId="164" fontId="16" fillId="33" borderId="0" xfId="0" applyNumberFormat="1" applyFont="1" applyFill="1" applyBorder="1" applyAlignment="1">
      <alignment vertical="center"/>
    </xf>
    <xf numFmtId="164" fontId="16" fillId="34" borderId="0" xfId="0" applyNumberFormat="1" applyFont="1" applyFill="1" applyBorder="1" applyAlignment="1">
      <alignment vertical="center" wrapText="1"/>
    </xf>
    <xf numFmtId="164" fontId="16" fillId="33" borderId="15" xfId="0" applyNumberFormat="1" applyFont="1" applyFill="1" applyBorder="1" applyAlignment="1">
      <alignment vertical="center"/>
    </xf>
    <xf numFmtId="164" fontId="0" fillId="0" borderId="17" xfId="0" applyNumberFormat="1" applyFill="1" applyBorder="1" applyAlignment="1">
      <alignment vertical="center"/>
    </xf>
    <xf numFmtId="164" fontId="0" fillId="34" borderId="17" xfId="0" applyNumberFormat="1" applyFill="1" applyBorder="1" applyAlignment="1">
      <alignment vertical="center"/>
    </xf>
    <xf numFmtId="164" fontId="16" fillId="33" borderId="17" xfId="0" applyNumberFormat="1" applyFont="1" applyFill="1" applyBorder="1" applyAlignment="1">
      <alignment vertical="center"/>
    </xf>
    <xf numFmtId="164" fontId="16" fillId="34" borderId="17" xfId="0" applyNumberFormat="1" applyFont="1" applyFill="1" applyBorder="1" applyAlignment="1">
      <alignment vertical="center" wrapText="1"/>
    </xf>
    <xf numFmtId="164" fontId="16" fillId="33" borderId="18" xfId="0" applyNumberFormat="1" applyFont="1" applyFill="1" applyBorder="1" applyAlignment="1">
      <alignment vertical="center"/>
    </xf>
    <xf numFmtId="0" fontId="16" fillId="33" borderId="1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right"/>
    </xf>
    <xf numFmtId="0" fontId="16" fillId="34" borderId="13" xfId="0" applyFont="1" applyFill="1" applyBorder="1" applyAlignment="1">
      <alignment horizontal="left" vertical="center" wrapText="1"/>
    </xf>
    <xf numFmtId="0" fontId="16" fillId="34" borderId="0" xfId="0" applyFont="1" applyFill="1" applyBorder="1" applyAlignment="1">
      <alignment horizontal="left" vertical="center" wrapText="1"/>
    </xf>
    <xf numFmtId="0" fontId="16" fillId="34" borderId="11" xfId="0" applyFont="1" applyFill="1" applyBorder="1" applyAlignment="1">
      <alignment horizontal="left"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center" wrapText="1"/>
    </xf>
    <xf numFmtId="0" fontId="18" fillId="0" borderId="15" xfId="0" applyFont="1" applyFill="1" applyBorder="1" applyAlignment="1">
      <alignment horizontal="center" wrapText="1"/>
    </xf>
    <xf numFmtId="0" fontId="24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topLeftCell="A31" zoomScaleNormal="100" workbookViewId="0">
      <selection activeCell="C56" sqref="C56"/>
    </sheetView>
  </sheetViews>
  <sheetFormatPr defaultRowHeight="15" x14ac:dyDescent="0.25"/>
  <cols>
    <col min="1" max="1" width="4.85546875" style="1" customWidth="1"/>
    <col min="2" max="2" width="17.7109375" style="1" bestFit="1" customWidth="1"/>
    <col min="3" max="9" width="11.5703125" style="1" customWidth="1"/>
    <col min="10" max="16384" width="9.140625" style="1"/>
  </cols>
  <sheetData>
    <row r="1" spans="1:8" ht="14.25" customHeight="1" x14ac:dyDescent="0.25">
      <c r="A1" s="41" t="s">
        <v>41</v>
      </c>
      <c r="B1" s="41"/>
      <c r="C1" s="41"/>
      <c r="D1" s="41"/>
      <c r="E1" s="41"/>
      <c r="F1" s="41"/>
      <c r="G1" s="41"/>
      <c r="H1" s="41"/>
    </row>
    <row r="2" spans="1:8" ht="14.25" customHeight="1" x14ac:dyDescent="0.25">
      <c r="A2" s="42" t="s">
        <v>44</v>
      </c>
      <c r="B2" s="42"/>
      <c r="C2" s="42"/>
      <c r="D2" s="42"/>
      <c r="E2" s="42"/>
      <c r="F2" s="42"/>
      <c r="G2" s="42"/>
      <c r="H2" s="42"/>
    </row>
    <row r="3" spans="1:8" s="24" customFormat="1" ht="97.5" customHeight="1" x14ac:dyDescent="0.25">
      <c r="A3" s="35" t="s">
        <v>42</v>
      </c>
      <c r="B3" s="35" t="s">
        <v>43</v>
      </c>
      <c r="C3" s="35">
        <v>2015</v>
      </c>
      <c r="D3" s="35">
        <v>2016</v>
      </c>
      <c r="E3" s="35">
        <v>2017</v>
      </c>
      <c r="F3" s="35" t="s">
        <v>48</v>
      </c>
      <c r="G3" s="35" t="s">
        <v>50</v>
      </c>
      <c r="H3" s="35" t="s">
        <v>46</v>
      </c>
    </row>
    <row r="4" spans="1:8" ht="14.25" customHeight="1" x14ac:dyDescent="0.25">
      <c r="A4" s="23">
        <v>1</v>
      </c>
      <c r="B4" s="23">
        <v>2</v>
      </c>
      <c r="C4" s="23">
        <v>3</v>
      </c>
      <c r="D4" s="23">
        <v>4</v>
      </c>
      <c r="E4" s="23">
        <v>5</v>
      </c>
      <c r="F4" s="23">
        <v>6</v>
      </c>
      <c r="G4" s="23">
        <v>7</v>
      </c>
      <c r="H4" s="23">
        <v>8</v>
      </c>
    </row>
    <row r="5" spans="1:8" s="9" customFormat="1" ht="14.25" customHeight="1" x14ac:dyDescent="0.25">
      <c r="A5" s="39" t="s">
        <v>0</v>
      </c>
      <c r="B5" s="40"/>
      <c r="C5" s="7"/>
      <c r="D5" s="7"/>
      <c r="E5" s="7"/>
      <c r="F5" s="7"/>
      <c r="G5" s="7"/>
      <c r="H5" s="8"/>
    </row>
    <row r="6" spans="1:8" s="9" customFormat="1" ht="14.25" customHeight="1" x14ac:dyDescent="0.25">
      <c r="A6" s="10">
        <v>1</v>
      </c>
      <c r="B6" s="11" t="s">
        <v>1</v>
      </c>
      <c r="C6" s="12">
        <v>15967</v>
      </c>
      <c r="D6" s="12">
        <v>16362</v>
      </c>
      <c r="E6" s="12">
        <v>17909</v>
      </c>
      <c r="F6" s="25">
        <f>E6/$E$45*100</f>
        <v>4.9768097174092469</v>
      </c>
      <c r="G6" s="12">
        <v>259.8</v>
      </c>
      <c r="H6" s="30">
        <v>68.900000000000006</v>
      </c>
    </row>
    <row r="7" spans="1:8" s="9" customFormat="1" ht="14.25" customHeight="1" x14ac:dyDescent="0.25">
      <c r="A7" s="13">
        <v>2</v>
      </c>
      <c r="B7" s="14" t="s">
        <v>2</v>
      </c>
      <c r="C7" s="15">
        <v>384</v>
      </c>
      <c r="D7" s="15">
        <v>367</v>
      </c>
      <c r="E7" s="15">
        <v>337</v>
      </c>
      <c r="F7" s="26">
        <f t="shared" ref="F7:F45" si="0">E7/$E$45*100</f>
        <v>9.3650392247859524E-2</v>
      </c>
      <c r="G7" s="15">
        <v>6.3</v>
      </c>
      <c r="H7" s="31">
        <v>53.4</v>
      </c>
    </row>
    <row r="8" spans="1:8" s="9" customFormat="1" ht="14.25" customHeight="1" x14ac:dyDescent="0.25">
      <c r="A8" s="10">
        <v>3</v>
      </c>
      <c r="B8" s="11" t="s">
        <v>3</v>
      </c>
      <c r="C8" s="12">
        <v>23365</v>
      </c>
      <c r="D8" s="12">
        <v>20869</v>
      </c>
      <c r="E8" s="12">
        <v>23082</v>
      </c>
      <c r="F8" s="25">
        <f t="shared" si="0"/>
        <v>6.4143571331308404</v>
      </c>
      <c r="G8" s="12">
        <v>160.69999999999999</v>
      </c>
      <c r="H8" s="30">
        <v>143.6</v>
      </c>
    </row>
    <row r="9" spans="1:8" s="9" customFormat="1" ht="14.25" customHeight="1" x14ac:dyDescent="0.25">
      <c r="A9" s="13">
        <v>4</v>
      </c>
      <c r="B9" s="14" t="s">
        <v>4</v>
      </c>
      <c r="C9" s="15">
        <v>13904</v>
      </c>
      <c r="D9" s="15">
        <v>13400</v>
      </c>
      <c r="E9" s="15">
        <v>14711</v>
      </c>
      <c r="F9" s="26">
        <f t="shared" si="0"/>
        <v>4.0881036212411317</v>
      </c>
      <c r="G9" s="15">
        <v>510.3</v>
      </c>
      <c r="H9" s="31">
        <v>28.8</v>
      </c>
    </row>
    <row r="10" spans="1:8" s="9" customFormat="1" ht="14.25" customHeight="1" x14ac:dyDescent="0.25">
      <c r="A10" s="10">
        <v>5</v>
      </c>
      <c r="B10" s="11" t="s">
        <v>5</v>
      </c>
      <c r="C10" s="12">
        <v>5783</v>
      </c>
      <c r="D10" s="12">
        <v>5947</v>
      </c>
      <c r="E10" s="12">
        <v>7996</v>
      </c>
      <c r="F10" s="25">
        <f t="shared" si="0"/>
        <v>2.2220431347593017</v>
      </c>
      <c r="G10" s="12">
        <v>130.9</v>
      </c>
      <c r="H10" s="30">
        <v>61.1</v>
      </c>
    </row>
    <row r="11" spans="1:8" s="9" customFormat="1" ht="14.25" customHeight="1" x14ac:dyDescent="0.25">
      <c r="A11" s="13">
        <v>6</v>
      </c>
      <c r="B11" s="14" t="s">
        <v>6</v>
      </c>
      <c r="C11" s="15">
        <v>392</v>
      </c>
      <c r="D11" s="15">
        <v>371</v>
      </c>
      <c r="E11" s="15">
        <v>369</v>
      </c>
      <c r="F11" s="26">
        <f t="shared" si="0"/>
        <v>0.10254301109632097</v>
      </c>
      <c r="G11" s="15">
        <v>9.3000000000000007</v>
      </c>
      <c r="H11" s="31">
        <v>39.6</v>
      </c>
    </row>
    <row r="12" spans="1:8" s="9" customFormat="1" ht="14.25" customHeight="1" x14ac:dyDescent="0.25">
      <c r="A12" s="10">
        <v>7</v>
      </c>
      <c r="B12" s="11" t="s">
        <v>7</v>
      </c>
      <c r="C12" s="12">
        <v>7777</v>
      </c>
      <c r="D12" s="12">
        <v>8532</v>
      </c>
      <c r="E12" s="12">
        <v>8133</v>
      </c>
      <c r="F12" s="25">
        <f t="shared" si="0"/>
        <v>2.2601146592042776</v>
      </c>
      <c r="G12" s="12">
        <v>301</v>
      </c>
      <c r="H12" s="30">
        <v>27</v>
      </c>
    </row>
    <row r="13" spans="1:8" s="9" customFormat="1" ht="14.25" customHeight="1" x14ac:dyDescent="0.25">
      <c r="A13" s="13">
        <v>8</v>
      </c>
      <c r="B13" s="14" t="s">
        <v>8</v>
      </c>
      <c r="C13" s="15">
        <v>9511</v>
      </c>
      <c r="D13" s="15">
        <v>9839</v>
      </c>
      <c r="E13" s="15">
        <v>11370</v>
      </c>
      <c r="F13" s="26">
        <f t="shared" si="0"/>
        <v>3.1596586345939546</v>
      </c>
      <c r="G13" s="15">
        <v>128.19999999999999</v>
      </c>
      <c r="H13" s="31">
        <v>88.7</v>
      </c>
    </row>
    <row r="14" spans="1:8" s="9" customFormat="1" ht="14.25" customHeight="1" x14ac:dyDescent="0.25">
      <c r="A14" s="10">
        <v>9</v>
      </c>
      <c r="B14" s="11" t="s">
        <v>9</v>
      </c>
      <c r="C14" s="12">
        <v>1295</v>
      </c>
      <c r="D14" s="12">
        <v>1222</v>
      </c>
      <c r="E14" s="12">
        <v>1246</v>
      </c>
      <c r="F14" s="25">
        <f t="shared" si="0"/>
        <v>0.34625634641196723</v>
      </c>
      <c r="G14" s="12">
        <v>34.9</v>
      </c>
      <c r="H14" s="30">
        <v>35.700000000000003</v>
      </c>
    </row>
    <row r="15" spans="1:8" s="9" customFormat="1" ht="14.25" customHeight="1" x14ac:dyDescent="0.25">
      <c r="A15" s="13">
        <v>10</v>
      </c>
      <c r="B15" s="14" t="s">
        <v>10</v>
      </c>
      <c r="C15" s="15">
        <v>3366</v>
      </c>
      <c r="D15" s="15">
        <v>2850</v>
      </c>
      <c r="E15" s="15">
        <v>3129</v>
      </c>
      <c r="F15" s="26">
        <f t="shared" si="0"/>
        <v>0.86953138677611996</v>
      </c>
      <c r="G15" s="15">
        <v>60.3</v>
      </c>
      <c r="H15" s="31">
        <v>51.9</v>
      </c>
    </row>
    <row r="16" spans="1:8" s="9" customFormat="1" ht="14.25" customHeight="1" x14ac:dyDescent="0.25">
      <c r="A16" s="10">
        <v>11</v>
      </c>
      <c r="B16" s="11" t="s">
        <v>11</v>
      </c>
      <c r="C16" s="12">
        <v>6568</v>
      </c>
      <c r="D16" s="12">
        <v>5453</v>
      </c>
      <c r="E16" s="12">
        <v>5911</v>
      </c>
      <c r="F16" s="25">
        <f t="shared" si="0"/>
        <v>1.6426334379142364</v>
      </c>
      <c r="G16" s="12">
        <v>166.3</v>
      </c>
      <c r="H16" s="30">
        <v>35.6</v>
      </c>
    </row>
    <row r="17" spans="1:8" s="9" customFormat="1" ht="14.25" customHeight="1" x14ac:dyDescent="0.25">
      <c r="A17" s="13">
        <v>12</v>
      </c>
      <c r="B17" s="14" t="s">
        <v>12</v>
      </c>
      <c r="C17" s="15">
        <v>12775</v>
      </c>
      <c r="D17" s="15">
        <v>14131</v>
      </c>
      <c r="E17" s="15">
        <v>14078</v>
      </c>
      <c r="F17" s="26">
        <f t="shared" si="0"/>
        <v>3.9121965046450038</v>
      </c>
      <c r="G17" s="15">
        <v>311.2</v>
      </c>
      <c r="H17" s="31">
        <v>45.2</v>
      </c>
    </row>
    <row r="18" spans="1:8" s="9" customFormat="1" ht="14.25" customHeight="1" x14ac:dyDescent="0.25">
      <c r="A18" s="10">
        <v>13</v>
      </c>
      <c r="B18" s="11" t="s">
        <v>13</v>
      </c>
      <c r="C18" s="12">
        <v>9767</v>
      </c>
      <c r="D18" s="12">
        <v>10034</v>
      </c>
      <c r="E18" s="12">
        <v>11057</v>
      </c>
      <c r="F18" s="25">
        <f t="shared" si="0"/>
        <v>3.0726777064824415</v>
      </c>
      <c r="G18" s="12">
        <v>183.6</v>
      </c>
      <c r="H18" s="30">
        <v>60.2</v>
      </c>
    </row>
    <row r="19" spans="1:8" s="9" customFormat="1" ht="14.25" customHeight="1" x14ac:dyDescent="0.25">
      <c r="A19" s="13">
        <v>14</v>
      </c>
      <c r="B19" s="14" t="s">
        <v>14</v>
      </c>
      <c r="C19" s="15">
        <v>24231</v>
      </c>
      <c r="D19" s="15">
        <v>26604</v>
      </c>
      <c r="E19" s="15">
        <v>29788</v>
      </c>
      <c r="F19" s="26">
        <f t="shared" si="0"/>
        <v>8.2779165705615423</v>
      </c>
      <c r="G19" s="15">
        <v>379</v>
      </c>
      <c r="H19" s="31">
        <v>78.599999999999994</v>
      </c>
    </row>
    <row r="20" spans="1:8" s="9" customFormat="1" ht="14.25" customHeight="1" x14ac:dyDescent="0.25">
      <c r="A20" s="10">
        <v>15</v>
      </c>
      <c r="B20" s="11" t="s">
        <v>15</v>
      </c>
      <c r="C20" s="12">
        <v>31216</v>
      </c>
      <c r="D20" s="12">
        <v>31388</v>
      </c>
      <c r="E20" s="12">
        <v>31979</v>
      </c>
      <c r="F20" s="25">
        <f t="shared" si="0"/>
        <v>8.8867830673421349</v>
      </c>
      <c r="G20" s="12">
        <v>581.1</v>
      </c>
      <c r="H20" s="30">
        <v>55</v>
      </c>
    </row>
    <row r="21" spans="1:8" s="9" customFormat="1" ht="14.25" customHeight="1" x14ac:dyDescent="0.25">
      <c r="A21" s="13">
        <v>16</v>
      </c>
      <c r="B21" s="14" t="s">
        <v>16</v>
      </c>
      <c r="C21" s="15">
        <v>266</v>
      </c>
      <c r="D21" s="15">
        <v>253</v>
      </c>
      <c r="E21" s="15">
        <v>236</v>
      </c>
      <c r="F21" s="26">
        <f t="shared" si="0"/>
        <v>6.5583064007403102E-2</v>
      </c>
      <c r="G21" s="15">
        <v>13.1</v>
      </c>
      <c r="H21" s="31">
        <v>18.100000000000001</v>
      </c>
    </row>
    <row r="22" spans="1:8" s="9" customFormat="1" ht="14.25" customHeight="1" x14ac:dyDescent="0.25">
      <c r="A22" s="10">
        <v>17</v>
      </c>
      <c r="B22" s="11" t="s">
        <v>17</v>
      </c>
      <c r="C22" s="12">
        <v>337</v>
      </c>
      <c r="D22" s="12">
        <v>372</v>
      </c>
      <c r="E22" s="12">
        <v>567</v>
      </c>
      <c r="F22" s="25">
        <f t="shared" si="0"/>
        <v>0.1575660902211761</v>
      </c>
      <c r="G22" s="12">
        <v>13.9</v>
      </c>
      <c r="H22" s="30">
        <v>40.700000000000003</v>
      </c>
    </row>
    <row r="23" spans="1:8" s="9" customFormat="1" ht="14.25" customHeight="1" x14ac:dyDescent="0.25">
      <c r="A23" s="13">
        <v>18</v>
      </c>
      <c r="B23" s="14" t="s">
        <v>18</v>
      </c>
      <c r="C23" s="15">
        <v>158</v>
      </c>
      <c r="D23" s="15">
        <v>120</v>
      </c>
      <c r="E23" s="15">
        <v>301</v>
      </c>
      <c r="F23" s="26">
        <f t="shared" si="0"/>
        <v>8.3646196043340393E-2</v>
      </c>
      <c r="G23" s="15">
        <v>5.2</v>
      </c>
      <c r="H23" s="31">
        <v>57.6</v>
      </c>
    </row>
    <row r="24" spans="1:8" s="9" customFormat="1" ht="14.25" customHeight="1" x14ac:dyDescent="0.25">
      <c r="A24" s="10">
        <v>19</v>
      </c>
      <c r="B24" s="11" t="s">
        <v>19</v>
      </c>
      <c r="C24" s="12">
        <v>91</v>
      </c>
      <c r="D24" s="12">
        <v>105</v>
      </c>
      <c r="E24" s="12">
        <v>79</v>
      </c>
      <c r="F24" s="25">
        <f t="shared" si="0"/>
        <v>2.1953652782139177E-2</v>
      </c>
      <c r="G24" s="12">
        <v>11.5</v>
      </c>
      <c r="H24" s="30">
        <v>6.9</v>
      </c>
    </row>
    <row r="25" spans="1:8" s="9" customFormat="1" ht="14.25" customHeight="1" x14ac:dyDescent="0.25">
      <c r="A25" s="13">
        <v>20</v>
      </c>
      <c r="B25" s="14" t="s">
        <v>20</v>
      </c>
      <c r="C25" s="15">
        <v>17200</v>
      </c>
      <c r="D25" s="15">
        <v>17837</v>
      </c>
      <c r="E25" s="15">
        <v>20098</v>
      </c>
      <c r="F25" s="26">
        <f t="shared" si="0"/>
        <v>5.5851204255118114</v>
      </c>
      <c r="G25" s="15">
        <v>212.7</v>
      </c>
      <c r="H25" s="31">
        <v>94.5</v>
      </c>
    </row>
    <row r="26" spans="1:8" s="9" customFormat="1" ht="14.25" customHeight="1" x14ac:dyDescent="0.25">
      <c r="A26" s="10">
        <v>21</v>
      </c>
      <c r="B26" s="11" t="s">
        <v>21</v>
      </c>
      <c r="C26" s="12">
        <v>5340</v>
      </c>
      <c r="D26" s="12">
        <v>5105</v>
      </c>
      <c r="E26" s="12">
        <v>4620</v>
      </c>
      <c r="F26" s="25">
        <f t="shared" si="0"/>
        <v>1.2838718462466201</v>
      </c>
      <c r="G26" s="12">
        <v>135.4</v>
      </c>
      <c r="H26" s="30">
        <v>34.1</v>
      </c>
    </row>
    <row r="27" spans="1:8" s="9" customFormat="1" ht="14.25" customHeight="1" x14ac:dyDescent="0.25">
      <c r="A27" s="13">
        <v>22</v>
      </c>
      <c r="B27" s="14" t="s">
        <v>22</v>
      </c>
      <c r="C27" s="15">
        <v>28224</v>
      </c>
      <c r="D27" s="15">
        <v>27422</v>
      </c>
      <c r="E27" s="15">
        <v>25993</v>
      </c>
      <c r="F27" s="26">
        <f t="shared" si="0"/>
        <v>7.2233075540018179</v>
      </c>
      <c r="G27" s="15">
        <v>354.8</v>
      </c>
      <c r="H27" s="31">
        <v>73.3</v>
      </c>
    </row>
    <row r="28" spans="1:8" s="9" customFormat="1" ht="14.25" customHeight="1" x14ac:dyDescent="0.25">
      <c r="A28" s="10">
        <v>23</v>
      </c>
      <c r="B28" s="11" t="s">
        <v>23</v>
      </c>
      <c r="C28" s="12">
        <v>53</v>
      </c>
      <c r="D28" s="12">
        <v>153</v>
      </c>
      <c r="E28" s="12">
        <v>163</v>
      </c>
      <c r="F28" s="25">
        <f t="shared" si="0"/>
        <v>4.5296777259350447E-2</v>
      </c>
      <c r="G28" s="12">
        <v>3.1</v>
      </c>
      <c r="H28" s="30">
        <v>53.1</v>
      </c>
    </row>
    <row r="29" spans="1:8" s="9" customFormat="1" ht="14.25" customHeight="1" x14ac:dyDescent="0.25">
      <c r="A29" s="13">
        <v>24</v>
      </c>
      <c r="B29" s="14" t="s">
        <v>24</v>
      </c>
      <c r="C29" s="15">
        <v>5919</v>
      </c>
      <c r="D29" s="15">
        <v>4463</v>
      </c>
      <c r="E29" s="15">
        <v>5397</v>
      </c>
      <c r="F29" s="26">
        <f t="shared" si="0"/>
        <v>1.4997957476608244</v>
      </c>
      <c r="G29" s="15">
        <v>348.4</v>
      </c>
      <c r="H29" s="31">
        <v>15.5</v>
      </c>
    </row>
    <row r="30" spans="1:8" s="9" customFormat="1" ht="14.25" customHeight="1" x14ac:dyDescent="0.25">
      <c r="A30" s="10">
        <v>25</v>
      </c>
      <c r="B30" s="11" t="s">
        <v>25</v>
      </c>
      <c r="C30" s="12">
        <v>15425</v>
      </c>
      <c r="D30" s="12">
        <v>15374</v>
      </c>
      <c r="E30" s="12">
        <v>17521</v>
      </c>
      <c r="F30" s="25">
        <f t="shared" si="0"/>
        <v>4.8689867138716512</v>
      </c>
      <c r="G30" s="12">
        <v>185</v>
      </c>
      <c r="H30" s="30">
        <v>94.7</v>
      </c>
    </row>
    <row r="31" spans="1:8" s="9" customFormat="1" ht="14.25" customHeight="1" x14ac:dyDescent="0.25">
      <c r="A31" s="13">
        <v>26</v>
      </c>
      <c r="B31" s="14" t="s">
        <v>26</v>
      </c>
      <c r="C31" s="15">
        <v>1267</v>
      </c>
      <c r="D31" s="15">
        <v>1013</v>
      </c>
      <c r="E31" s="15">
        <v>972</v>
      </c>
      <c r="F31" s="26">
        <f t="shared" si="0"/>
        <v>0.27011329752201618</v>
      </c>
      <c r="G31" s="15">
        <v>19</v>
      </c>
      <c r="H31" s="31">
        <v>51.2</v>
      </c>
    </row>
    <row r="32" spans="1:8" s="9" customFormat="1" ht="14.25" customHeight="1" x14ac:dyDescent="0.25">
      <c r="A32" s="10">
        <v>27</v>
      </c>
      <c r="B32" s="11" t="s">
        <v>27</v>
      </c>
      <c r="C32" s="12">
        <v>35908</v>
      </c>
      <c r="D32" s="12">
        <v>49262</v>
      </c>
      <c r="E32" s="12">
        <v>56011</v>
      </c>
      <c r="F32" s="25">
        <f t="shared" si="0"/>
        <v>15.565139822536675</v>
      </c>
      <c r="G32" s="12">
        <v>1053.4000000000001</v>
      </c>
      <c r="H32" s="30">
        <v>53.2</v>
      </c>
    </row>
    <row r="33" spans="1:8" s="9" customFormat="1" ht="14.25" customHeight="1" x14ac:dyDescent="0.25">
      <c r="A33" s="13">
        <v>28</v>
      </c>
      <c r="B33" s="14" t="s">
        <v>28</v>
      </c>
      <c r="C33" s="15">
        <v>1465</v>
      </c>
      <c r="D33" s="15">
        <v>1588</v>
      </c>
      <c r="E33" s="15">
        <v>1944</v>
      </c>
      <c r="F33" s="26">
        <f t="shared" si="0"/>
        <v>0.54022659504403236</v>
      </c>
      <c r="G33" s="15">
        <v>52.8</v>
      </c>
      <c r="H33" s="31">
        <v>36.799999999999997</v>
      </c>
    </row>
    <row r="34" spans="1:8" s="9" customFormat="1" ht="14.25" customHeight="1" x14ac:dyDescent="0.25">
      <c r="A34" s="10">
        <v>29</v>
      </c>
      <c r="B34" s="11" t="s">
        <v>29</v>
      </c>
      <c r="C34" s="12">
        <v>33318</v>
      </c>
      <c r="D34" s="12">
        <v>32513</v>
      </c>
      <c r="E34" s="12">
        <v>30992</v>
      </c>
      <c r="F34" s="25">
        <f t="shared" si="0"/>
        <v>8.6125013547349027</v>
      </c>
      <c r="G34" s="12">
        <v>460.8</v>
      </c>
      <c r="H34" s="30">
        <v>67.3</v>
      </c>
    </row>
    <row r="35" spans="1:8" s="9" customFormat="1" ht="14.25" customHeight="1" x14ac:dyDescent="0.25">
      <c r="A35" s="16"/>
      <c r="B35" s="17" t="s">
        <v>30</v>
      </c>
      <c r="C35" s="18">
        <v>311272</v>
      </c>
      <c r="D35" s="18">
        <v>322949</v>
      </c>
      <c r="E35" s="18">
        <v>345989</v>
      </c>
      <c r="F35" s="27">
        <f t="shared" si="0"/>
        <v>96.148384461260136</v>
      </c>
      <c r="G35" s="18">
        <v>6091.9</v>
      </c>
      <c r="H35" s="32">
        <v>56.8</v>
      </c>
    </row>
    <row r="36" spans="1:8" s="9" customFormat="1" ht="14.25" customHeight="1" x14ac:dyDescent="0.25">
      <c r="A36" s="37" t="s">
        <v>31</v>
      </c>
      <c r="B36" s="38"/>
      <c r="C36" s="19"/>
      <c r="D36" s="19"/>
      <c r="E36" s="19"/>
      <c r="F36" s="28"/>
      <c r="G36" s="19"/>
      <c r="H36" s="33"/>
    </row>
    <row r="37" spans="1:8" s="9" customFormat="1" ht="14.25" customHeight="1" x14ac:dyDescent="0.25">
      <c r="A37" s="10">
        <v>30</v>
      </c>
      <c r="B37" s="11" t="s">
        <v>32</v>
      </c>
      <c r="C37" s="12">
        <v>136</v>
      </c>
      <c r="D37" s="12">
        <v>108</v>
      </c>
      <c r="E37" s="12">
        <v>132</v>
      </c>
      <c r="F37" s="25">
        <f t="shared" si="0"/>
        <v>3.6682052749903431E-2</v>
      </c>
      <c r="G37" s="12">
        <v>2.8</v>
      </c>
      <c r="H37" s="30">
        <v>47.7</v>
      </c>
    </row>
    <row r="38" spans="1:8" s="9" customFormat="1" ht="14.25" customHeight="1" x14ac:dyDescent="0.25">
      <c r="A38" s="13">
        <v>31</v>
      </c>
      <c r="B38" s="14" t="s">
        <v>33</v>
      </c>
      <c r="C38" s="15">
        <v>468</v>
      </c>
      <c r="D38" s="15">
        <v>414</v>
      </c>
      <c r="E38" s="15">
        <v>453</v>
      </c>
      <c r="F38" s="26">
        <f t="shared" si="0"/>
        <v>0.12588613557353223</v>
      </c>
      <c r="G38" s="15">
        <v>7.6</v>
      </c>
      <c r="H38" s="31">
        <v>59.8</v>
      </c>
    </row>
    <row r="39" spans="1:8" s="9" customFormat="1" ht="14.25" customHeight="1" x14ac:dyDescent="0.25">
      <c r="A39" s="10">
        <v>32</v>
      </c>
      <c r="B39" s="11" t="s">
        <v>34</v>
      </c>
      <c r="C39" s="12">
        <v>25</v>
      </c>
      <c r="D39" s="12">
        <v>28</v>
      </c>
      <c r="E39" s="12">
        <v>20</v>
      </c>
      <c r="F39" s="25">
        <f t="shared" si="0"/>
        <v>5.5578867802883987E-3</v>
      </c>
      <c r="G39" s="12">
        <v>2</v>
      </c>
      <c r="H39" s="30">
        <v>9.9</v>
      </c>
    </row>
    <row r="40" spans="1:8" s="9" customFormat="1" ht="14.25" customHeight="1" x14ac:dyDescent="0.25">
      <c r="A40" s="13">
        <v>33</v>
      </c>
      <c r="B40" s="14" t="s">
        <v>35</v>
      </c>
      <c r="C40" s="15">
        <v>29</v>
      </c>
      <c r="D40" s="15">
        <v>41</v>
      </c>
      <c r="E40" s="15">
        <v>26</v>
      </c>
      <c r="F40" s="26">
        <f t="shared" si="0"/>
        <v>7.2252528143749179E-3</v>
      </c>
      <c r="G40" s="15">
        <v>1.1000000000000001</v>
      </c>
      <c r="H40" s="31">
        <v>23</v>
      </c>
    </row>
    <row r="41" spans="1:8" s="9" customFormat="1" ht="14.25" customHeight="1" x14ac:dyDescent="0.25">
      <c r="A41" s="10">
        <v>34</v>
      </c>
      <c r="B41" s="11" t="s">
        <v>36</v>
      </c>
      <c r="C41" s="12">
        <v>17222</v>
      </c>
      <c r="D41" s="12">
        <v>15310</v>
      </c>
      <c r="E41" s="12">
        <v>13076</v>
      </c>
      <c r="F41" s="25">
        <f t="shared" si="0"/>
        <v>3.6337463769525549</v>
      </c>
      <c r="G41" s="12">
        <v>98.1</v>
      </c>
      <c r="H41" s="30">
        <v>133.30000000000001</v>
      </c>
    </row>
    <row r="42" spans="1:8" s="9" customFormat="1" ht="14.25" customHeight="1" x14ac:dyDescent="0.25">
      <c r="A42" s="13">
        <v>35</v>
      </c>
      <c r="B42" s="14" t="s">
        <v>37</v>
      </c>
      <c r="C42" s="15">
        <v>9</v>
      </c>
      <c r="D42" s="15">
        <v>9</v>
      </c>
      <c r="E42" s="15">
        <v>6</v>
      </c>
      <c r="F42" s="26">
        <f t="shared" si="0"/>
        <v>1.6673660340865198E-3</v>
      </c>
      <c r="G42" s="15">
        <v>0.4</v>
      </c>
      <c r="H42" s="31">
        <v>14</v>
      </c>
    </row>
    <row r="43" spans="1:8" s="9" customFormat="1" ht="14.25" customHeight="1" x14ac:dyDescent="0.25">
      <c r="A43" s="10">
        <v>36</v>
      </c>
      <c r="B43" s="11" t="s">
        <v>38</v>
      </c>
      <c r="C43" s="12">
        <v>82</v>
      </c>
      <c r="D43" s="12">
        <v>95</v>
      </c>
      <c r="E43" s="12">
        <v>147</v>
      </c>
      <c r="F43" s="25">
        <f t="shared" si="0"/>
        <v>4.0850467835119732E-2</v>
      </c>
      <c r="G43" s="12">
        <v>7.6</v>
      </c>
      <c r="H43" s="30">
        <v>19.3</v>
      </c>
    </row>
    <row r="44" spans="1:8" s="9" customFormat="1" ht="14.25" customHeight="1" x14ac:dyDescent="0.25">
      <c r="A44" s="16"/>
      <c r="B44" s="17" t="s">
        <v>39</v>
      </c>
      <c r="C44" s="18">
        <v>17971</v>
      </c>
      <c r="D44" s="18">
        <v>16005</v>
      </c>
      <c r="E44" s="18">
        <v>13860</v>
      </c>
      <c r="F44" s="27">
        <f t="shared" si="0"/>
        <v>3.8516155387398601</v>
      </c>
      <c r="G44" s="18">
        <v>119.6</v>
      </c>
      <c r="H44" s="32">
        <v>115.8</v>
      </c>
    </row>
    <row r="45" spans="1:8" s="9" customFormat="1" ht="14.25" customHeight="1" x14ac:dyDescent="0.25">
      <c r="A45" s="20"/>
      <c r="B45" s="21" t="s">
        <v>40</v>
      </c>
      <c r="C45" s="22">
        <v>329243</v>
      </c>
      <c r="D45" s="22">
        <v>338954</v>
      </c>
      <c r="E45" s="22">
        <v>359849</v>
      </c>
      <c r="F45" s="29">
        <f t="shared" si="0"/>
        <v>100</v>
      </c>
      <c r="G45" s="22">
        <v>6211.5</v>
      </c>
      <c r="H45" s="34">
        <v>57.9</v>
      </c>
    </row>
    <row r="46" spans="1:8" ht="12.95" customHeight="1" x14ac:dyDescent="0.25">
      <c r="A46" s="2" t="s">
        <v>45</v>
      </c>
      <c r="B46" s="3"/>
      <c r="C46" s="4"/>
      <c r="D46" s="4"/>
      <c r="E46" s="3"/>
      <c r="H46" s="36" t="s">
        <v>49</v>
      </c>
    </row>
    <row r="47" spans="1:8" ht="12.95" customHeight="1" x14ac:dyDescent="0.25">
      <c r="A47" s="2" t="s">
        <v>47</v>
      </c>
      <c r="B47" s="5"/>
      <c r="C47" s="3"/>
      <c r="D47" s="3"/>
      <c r="E47" s="3"/>
    </row>
    <row r="48" spans="1:8" ht="12.95" customHeight="1" x14ac:dyDescent="0.25">
      <c r="A48" s="6"/>
      <c r="B48" s="43" t="s">
        <v>51</v>
      </c>
      <c r="C48" s="3"/>
      <c r="D48" s="3"/>
      <c r="E48" s="3"/>
    </row>
    <row r="49" spans="1:1" x14ac:dyDescent="0.25">
      <c r="A49" s="2"/>
    </row>
  </sheetData>
  <mergeCells count="4">
    <mergeCell ref="A36:B36"/>
    <mergeCell ref="A5:B5"/>
    <mergeCell ref="A1:H1"/>
    <mergeCell ref="A2:H2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Sheet!OLE_LINK1</vt:lpstr>
      <vt:lpstr>Sheet!Print_Area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2019-07-31T08:49:29Z</cp:lastPrinted>
  <dcterms:created xsi:type="dcterms:W3CDTF">2017-09-07T07:07:07Z</dcterms:created>
  <dcterms:modified xsi:type="dcterms:W3CDTF">2019-10-15T04:44:51Z</dcterms:modified>
</cp:coreProperties>
</file>