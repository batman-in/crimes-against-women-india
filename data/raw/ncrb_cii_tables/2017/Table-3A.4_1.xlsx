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8" i="1"/>
  <c r="H39" i="1"/>
  <c r="H40" i="1"/>
  <c r="H41" i="1"/>
  <c r="H42" i="1"/>
  <c r="H43" i="1"/>
  <c r="H44" i="1"/>
  <c r="H45" i="1"/>
  <c r="H46" i="1"/>
  <c r="H7" i="1"/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8" i="1"/>
  <c r="I39" i="1"/>
  <c r="I40" i="1"/>
  <c r="I41" i="1"/>
  <c r="I42" i="1"/>
  <c r="I44" i="1"/>
  <c r="I45" i="1"/>
  <c r="I46" i="1"/>
</calcChain>
</file>

<file path=xl/sharedStrings.xml><?xml version="1.0" encoding="utf-8"?>
<sst xmlns="http://schemas.openxmlformats.org/spreadsheetml/2006/main" count="58" uniqueCount="58">
  <si>
    <t xml:space="preserve">STATES: </t>
  </si>
  <si>
    <t xml:space="preserve">Andhra Pradesh </t>
  </si>
  <si>
    <t xml:space="preserve">Arunachal Pradesh </t>
  </si>
  <si>
    <t xml:space="preserve">Assam </t>
  </si>
  <si>
    <t xml:space="preserve">Bihar </t>
  </si>
  <si>
    <t xml:space="preserve">Chhattisgarh </t>
  </si>
  <si>
    <t xml:space="preserve">Goa </t>
  </si>
  <si>
    <t xml:space="preserve">Gujarat </t>
  </si>
  <si>
    <t xml:space="preserve">Haryana </t>
  </si>
  <si>
    <t xml:space="preserve">Himachal Pradesh </t>
  </si>
  <si>
    <t xml:space="preserve">Jammu &amp; Kashmir </t>
  </si>
  <si>
    <t xml:space="preserve">Jharkhand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</si>
  <si>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</si>
  <si>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</si>
  <si>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</si>
  <si>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</si>
  <si>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</si>
  <si>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</si>
  <si>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</si>
  <si>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</si>
  <si>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</si>
  <si>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</si>
  <si>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</si>
  <si>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</si>
  <si>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</si>
  <si>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</si>
  <si>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</si>
  <si>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</si>
  <si>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West Bengal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</si>
  <si>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</si>
  <si>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</si>
  <si>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</si>
  <si>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</si>
  <si>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D&amp;N Haveli </t>
  </si>
  <si>
    <t xml:space="preserve">Daman &amp; Diu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</si>
  <si>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</si>
  <si>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</si>
  <si>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</si>
  <si>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</si>
  <si>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</si>
  <si>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 xml:space="preserve">TABLE 3A.4 </t>
  </si>
  <si>
    <t>Friends/Online-Friends or Live in Partners on Pretext of Marriage/Seperated Husband</t>
  </si>
  <si>
    <t>Family members</t>
  </si>
  <si>
    <t>Total Rape Cases (Known+unknown Offenders)</t>
  </si>
  <si>
    <t>Cases in which Offenders were known to Victim</t>
  </si>
  <si>
    <t xml:space="preserve"> -</t>
  </si>
  <si>
    <t>Offenders Relation to Victims of Rape (Section 376 IPC) - 2017</t>
  </si>
  <si>
    <t>Meghalaya</t>
  </si>
  <si>
    <t xml:space="preserve">S. No. </t>
  </si>
  <si>
    <t xml:space="preserve">State/UT </t>
  </si>
  <si>
    <t xml:space="preserve">Percentage Share of Known Cases to Total Rape Cases </t>
  </si>
  <si>
    <t>Cases Offender known to Victim (Total)</t>
  </si>
  <si>
    <t>Family Friends/ Neighbours/ Employer or Other Known Persons</t>
  </si>
  <si>
    <t>Cases Offenders Unknown or Not Identified</t>
  </si>
  <si>
    <t>Col.3=Col.4+Col.5+Col.6</t>
  </si>
  <si>
    <t>Col.8=Col.3+Col.7</t>
  </si>
  <si>
    <t>TABLE 3A.4 Page 1 of 1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</si>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</sst>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Fill="1"/>
    <xf numFmtId="0" fontId="6" fillId="0" borderId="0" xfId="0" applyFont="1" applyFill="1"/>
    <xf numFmtId="0" fontId="5" fillId="0" borderId="0" xfId="0" applyFont="1" applyFill="1" applyBorder="1" applyAlignment="1">
      <alignment vertical="center" wrapText="1"/>
    </xf>
    <xf numFmtId="0" fontId="0" fillId="0" borderId="0" xfId="0" applyFont="1" applyFill="1" applyAlignment="1">
      <alignment horizontal="right"/>
    </xf>
    <xf numFmtId="0" fontId="7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0" fillId="0" borderId="0" xfId="0" applyFill="1" applyAlignment="1"/>
    <xf numFmtId="0" fontId="4" fillId="0" borderId="3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7" fillId="0" borderId="0" xfId="0" applyFont="1" applyFill="1" applyBorder="1" applyAlignment="1"/>
    <xf numFmtId="164" fontId="4" fillId="0" borderId="4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wrapText="1"/>
    </xf>
    <xf numFmtId="0" fontId="4" fillId="3" borderId="0" xfId="0" applyFont="1" applyFill="1" applyBorder="1" applyAlignment="1">
      <alignment wrapText="1"/>
    </xf>
    <xf numFmtId="0" fontId="7" fillId="3" borderId="0" xfId="0" applyFont="1" applyFill="1" applyBorder="1" applyAlignment="1"/>
    <xf numFmtId="164" fontId="4" fillId="3" borderId="4" xfId="0" applyNumberFormat="1" applyFont="1" applyFill="1" applyBorder="1" applyAlignment="1">
      <alignment horizontal="right" wrapText="1"/>
    </xf>
    <xf numFmtId="0" fontId="9" fillId="2" borderId="3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8" fillId="2" borderId="0" xfId="0" applyFont="1" applyFill="1" applyBorder="1" applyAlignment="1"/>
    <xf numFmtId="164" fontId="3" fillId="2" borderId="4" xfId="0" applyNumberFormat="1" applyFont="1" applyFill="1" applyBorder="1" applyAlignment="1">
      <alignment horizontal="right" wrapText="1"/>
    </xf>
    <xf numFmtId="0" fontId="3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8" fillId="2" borderId="6" xfId="0" applyFont="1" applyFill="1" applyBorder="1" applyAlignment="1"/>
    <xf numFmtId="164" fontId="3" fillId="2" borderId="7" xfId="0" applyNumberFormat="1" applyFont="1" applyFill="1" applyBorder="1" applyAlignment="1">
      <alignment horizontal="right" wrapText="1"/>
    </xf>
    <xf numFmtId="0" fontId="6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C8E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34" zoomScaleNormal="100" workbookViewId="0">
      <selection activeCell="C47" sqref="C47"/>
    </sheetView>
  </sheetViews>
  <sheetFormatPr defaultColWidth="9.140625" defaultRowHeight="15" customHeight="1" x14ac:dyDescent="0.25"/>
  <cols>
    <col min="1" max="1" width="4.140625" style="1" customWidth="1"/>
    <col min="2" max="2" width="17.42578125" style="1" customWidth="1"/>
    <col min="3" max="9" width="9.85546875" style="1" customWidth="1"/>
    <col min="10" max="16384" width="9.140625" style="1"/>
  </cols>
  <sheetData>
    <row r="1" spans="1:9" ht="15" customHeight="1" x14ac:dyDescent="0.25">
      <c r="A1" s="33" t="s">
        <v>40</v>
      </c>
      <c r="B1" s="33"/>
      <c r="C1" s="33"/>
      <c r="D1" s="33"/>
      <c r="E1" s="33"/>
      <c r="F1" s="33"/>
      <c r="G1" s="33"/>
      <c r="H1" s="33"/>
      <c r="I1" s="33"/>
    </row>
    <row r="2" spans="1:9" ht="15" customHeight="1" x14ac:dyDescent="0.25">
      <c r="A2" s="34" t="s">
        <v>46</v>
      </c>
      <c r="B2" s="34"/>
      <c r="C2" s="34"/>
      <c r="D2" s="34"/>
      <c r="E2" s="34"/>
      <c r="F2" s="34"/>
      <c r="G2" s="34"/>
      <c r="H2" s="34"/>
      <c r="I2" s="34"/>
    </row>
    <row r="3" spans="1:9" ht="15" customHeight="1" x14ac:dyDescent="0.25">
      <c r="A3" s="39" t="s">
        <v>48</v>
      </c>
      <c r="B3" s="39" t="s">
        <v>49</v>
      </c>
      <c r="C3" s="40" t="s">
        <v>44</v>
      </c>
      <c r="D3" s="40"/>
      <c r="E3" s="40"/>
      <c r="F3" s="40"/>
      <c r="G3" s="40" t="s">
        <v>53</v>
      </c>
      <c r="H3" s="40" t="s">
        <v>43</v>
      </c>
      <c r="I3" s="39" t="s">
        <v>50</v>
      </c>
    </row>
    <row r="4" spans="1:9" ht="108.75" customHeight="1" x14ac:dyDescent="0.25">
      <c r="A4" s="39"/>
      <c r="B4" s="39"/>
      <c r="C4" s="7" t="s">
        <v>51</v>
      </c>
      <c r="D4" s="7" t="s">
        <v>42</v>
      </c>
      <c r="E4" s="7" t="s">
        <v>52</v>
      </c>
      <c r="F4" s="7" t="s">
        <v>41</v>
      </c>
      <c r="G4" s="40"/>
      <c r="H4" s="40"/>
      <c r="I4" s="39"/>
    </row>
    <row r="5" spans="1:9" ht="15" customHeight="1" x14ac:dyDescent="0.2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>
        <v>9</v>
      </c>
    </row>
    <row r="6" spans="1:9" s="12" customFormat="1" ht="14.25" customHeight="1" x14ac:dyDescent="0.25">
      <c r="A6" s="37" t="s">
        <v>0</v>
      </c>
      <c r="B6" s="38"/>
      <c r="C6" s="9"/>
      <c r="D6" s="9"/>
      <c r="E6" s="9"/>
      <c r="F6" s="10"/>
      <c r="G6" s="10"/>
      <c r="H6" s="10"/>
      <c r="I6" s="11"/>
    </row>
    <row r="7" spans="1:9" s="12" customFormat="1" ht="14.25" customHeight="1" x14ac:dyDescent="0.25">
      <c r="A7" s="13">
        <v>1</v>
      </c>
      <c r="B7" s="14" t="s">
        <v>1</v>
      </c>
      <c r="C7" s="15">
        <v>934</v>
      </c>
      <c r="D7" s="15">
        <v>96</v>
      </c>
      <c r="E7" s="15">
        <v>536</v>
      </c>
      <c r="F7" s="15">
        <v>302</v>
      </c>
      <c r="G7" s="15">
        <v>54</v>
      </c>
      <c r="H7" s="15">
        <f>C7+G7</f>
        <v>988</v>
      </c>
      <c r="I7" s="16">
        <f t="shared" ref="I7:I36" si="0">C7/H7*100</f>
        <v>94.534412955465584</v>
      </c>
    </row>
    <row r="8" spans="1:9" s="12" customFormat="1" ht="14.25" customHeight="1" x14ac:dyDescent="0.25">
      <c r="A8" s="17">
        <v>2</v>
      </c>
      <c r="B8" s="18" t="s">
        <v>2</v>
      </c>
      <c r="C8" s="19">
        <v>53</v>
      </c>
      <c r="D8" s="19">
        <v>11</v>
      </c>
      <c r="E8" s="19">
        <v>31</v>
      </c>
      <c r="F8" s="19">
        <v>11</v>
      </c>
      <c r="G8" s="19">
        <v>6</v>
      </c>
      <c r="H8" s="19">
        <f t="shared" ref="H8:H46" si="1">C8+G8</f>
        <v>59</v>
      </c>
      <c r="I8" s="20">
        <f t="shared" si="0"/>
        <v>89.830508474576277</v>
      </c>
    </row>
    <row r="9" spans="1:9" s="12" customFormat="1" ht="14.25" customHeight="1" x14ac:dyDescent="0.25">
      <c r="A9" s="13">
        <v>3</v>
      </c>
      <c r="B9" s="14" t="s">
        <v>3</v>
      </c>
      <c r="C9" s="15">
        <v>1563</v>
      </c>
      <c r="D9" s="15">
        <v>119</v>
      </c>
      <c r="E9" s="15">
        <v>906</v>
      </c>
      <c r="F9" s="15">
        <v>538</v>
      </c>
      <c r="G9" s="15">
        <v>209</v>
      </c>
      <c r="H9" s="15">
        <f t="shared" si="1"/>
        <v>1772</v>
      </c>
      <c r="I9" s="16">
        <f t="shared" si="0"/>
        <v>88.205417607223481</v>
      </c>
    </row>
    <row r="10" spans="1:9" s="12" customFormat="1" ht="14.25" customHeight="1" x14ac:dyDescent="0.25">
      <c r="A10" s="17">
        <v>4</v>
      </c>
      <c r="B10" s="18" t="s">
        <v>4</v>
      </c>
      <c r="C10" s="19">
        <v>597</v>
      </c>
      <c r="D10" s="19">
        <v>14</v>
      </c>
      <c r="E10" s="19">
        <v>237</v>
      </c>
      <c r="F10" s="19">
        <v>346</v>
      </c>
      <c r="G10" s="19">
        <v>8</v>
      </c>
      <c r="H10" s="19">
        <f t="shared" si="1"/>
        <v>605</v>
      </c>
      <c r="I10" s="20">
        <f t="shared" si="0"/>
        <v>98.67768595041322</v>
      </c>
    </row>
    <row r="11" spans="1:9" s="12" customFormat="1" ht="14.25" customHeight="1" x14ac:dyDescent="0.25">
      <c r="A11" s="13">
        <v>5</v>
      </c>
      <c r="B11" s="14" t="s">
        <v>5</v>
      </c>
      <c r="C11" s="15">
        <v>1780</v>
      </c>
      <c r="D11" s="15">
        <v>350</v>
      </c>
      <c r="E11" s="15">
        <v>635</v>
      </c>
      <c r="F11" s="15">
        <v>795</v>
      </c>
      <c r="G11" s="15">
        <v>128</v>
      </c>
      <c r="H11" s="15">
        <f t="shared" si="1"/>
        <v>1908</v>
      </c>
      <c r="I11" s="16">
        <f t="shared" si="0"/>
        <v>93.29140461215934</v>
      </c>
    </row>
    <row r="12" spans="1:9" s="12" customFormat="1" ht="14.25" customHeight="1" x14ac:dyDescent="0.25">
      <c r="A12" s="17">
        <v>6</v>
      </c>
      <c r="B12" s="18" t="s">
        <v>6</v>
      </c>
      <c r="C12" s="19">
        <v>73</v>
      </c>
      <c r="D12" s="19">
        <v>9</v>
      </c>
      <c r="E12" s="19">
        <v>27</v>
      </c>
      <c r="F12" s="19">
        <v>37</v>
      </c>
      <c r="G12" s="19">
        <v>3</v>
      </c>
      <c r="H12" s="19">
        <f t="shared" si="1"/>
        <v>76</v>
      </c>
      <c r="I12" s="20">
        <f t="shared" si="0"/>
        <v>96.05263157894737</v>
      </c>
    </row>
    <row r="13" spans="1:9" s="12" customFormat="1" ht="14.25" customHeight="1" x14ac:dyDescent="0.25">
      <c r="A13" s="13">
        <v>7</v>
      </c>
      <c r="B13" s="14" t="s">
        <v>7</v>
      </c>
      <c r="C13" s="15">
        <v>440</v>
      </c>
      <c r="D13" s="15">
        <v>34</v>
      </c>
      <c r="E13" s="15">
        <v>210</v>
      </c>
      <c r="F13" s="15">
        <v>196</v>
      </c>
      <c r="G13" s="15">
        <v>37</v>
      </c>
      <c r="H13" s="15">
        <f t="shared" si="1"/>
        <v>477</v>
      </c>
      <c r="I13" s="16">
        <f t="shared" si="0"/>
        <v>92.243186582809216</v>
      </c>
    </row>
    <row r="14" spans="1:9" s="12" customFormat="1" ht="14.25" customHeight="1" x14ac:dyDescent="0.25">
      <c r="A14" s="17">
        <v>8</v>
      </c>
      <c r="B14" s="18" t="s">
        <v>8</v>
      </c>
      <c r="C14" s="19">
        <v>1066</v>
      </c>
      <c r="D14" s="19">
        <v>109</v>
      </c>
      <c r="E14" s="19">
        <v>662</v>
      </c>
      <c r="F14" s="19">
        <v>295</v>
      </c>
      <c r="G14" s="19">
        <v>33</v>
      </c>
      <c r="H14" s="19">
        <f t="shared" si="1"/>
        <v>1099</v>
      </c>
      <c r="I14" s="20">
        <f t="shared" si="0"/>
        <v>96.997270245677896</v>
      </c>
    </row>
    <row r="15" spans="1:9" s="12" customFormat="1" ht="14.25" customHeight="1" x14ac:dyDescent="0.25">
      <c r="A15" s="13">
        <v>9</v>
      </c>
      <c r="B15" s="14" t="s">
        <v>9</v>
      </c>
      <c r="C15" s="15">
        <v>247</v>
      </c>
      <c r="D15" s="15">
        <v>23</v>
      </c>
      <c r="E15" s="15">
        <v>166</v>
      </c>
      <c r="F15" s="15">
        <v>58</v>
      </c>
      <c r="G15" s="15">
        <v>2</v>
      </c>
      <c r="H15" s="15">
        <f t="shared" si="1"/>
        <v>249</v>
      </c>
      <c r="I15" s="16">
        <f t="shared" si="0"/>
        <v>99.196787148594382</v>
      </c>
    </row>
    <row r="16" spans="1:9" s="12" customFormat="1" ht="14.25" customHeight="1" x14ac:dyDescent="0.25">
      <c r="A16" s="17">
        <v>10</v>
      </c>
      <c r="B16" s="18" t="s">
        <v>10</v>
      </c>
      <c r="C16" s="19">
        <v>271</v>
      </c>
      <c r="D16" s="19">
        <v>29</v>
      </c>
      <c r="E16" s="19">
        <v>202</v>
      </c>
      <c r="F16" s="19">
        <v>40</v>
      </c>
      <c r="G16" s="19">
        <v>25</v>
      </c>
      <c r="H16" s="19">
        <f t="shared" si="1"/>
        <v>296</v>
      </c>
      <c r="I16" s="20">
        <f t="shared" si="0"/>
        <v>91.554054054054063</v>
      </c>
    </row>
    <row r="17" spans="1:9" s="12" customFormat="1" ht="14.25" customHeight="1" x14ac:dyDescent="0.25">
      <c r="A17" s="13">
        <v>11</v>
      </c>
      <c r="B17" s="14" t="s">
        <v>11</v>
      </c>
      <c r="C17" s="15">
        <v>733</v>
      </c>
      <c r="D17" s="15">
        <v>29</v>
      </c>
      <c r="E17" s="15">
        <v>567</v>
      </c>
      <c r="F17" s="15">
        <v>137</v>
      </c>
      <c r="G17" s="15">
        <v>181</v>
      </c>
      <c r="H17" s="15">
        <f t="shared" si="1"/>
        <v>914</v>
      </c>
      <c r="I17" s="16">
        <f t="shared" si="0"/>
        <v>80.19693654266959</v>
      </c>
    </row>
    <row r="18" spans="1:9" s="12" customFormat="1" ht="14.25" customHeight="1" x14ac:dyDescent="0.25">
      <c r="A18" s="17">
        <v>12</v>
      </c>
      <c r="B18" s="18" t="s">
        <v>12</v>
      </c>
      <c r="C18" s="19">
        <v>524</v>
      </c>
      <c r="D18" s="19">
        <v>56</v>
      </c>
      <c r="E18" s="19">
        <v>279</v>
      </c>
      <c r="F18" s="19">
        <v>189</v>
      </c>
      <c r="G18" s="19">
        <v>22</v>
      </c>
      <c r="H18" s="19">
        <f t="shared" si="1"/>
        <v>546</v>
      </c>
      <c r="I18" s="20">
        <f t="shared" si="0"/>
        <v>95.970695970695971</v>
      </c>
    </row>
    <row r="19" spans="1:9" s="12" customFormat="1" ht="14.25" customHeight="1" x14ac:dyDescent="0.25">
      <c r="A19" s="13">
        <v>13</v>
      </c>
      <c r="B19" s="14" t="s">
        <v>13</v>
      </c>
      <c r="C19" s="15">
        <v>1973</v>
      </c>
      <c r="D19" s="15">
        <v>264</v>
      </c>
      <c r="E19" s="15">
        <v>851</v>
      </c>
      <c r="F19" s="15">
        <v>858</v>
      </c>
      <c r="G19" s="15">
        <v>30</v>
      </c>
      <c r="H19" s="15">
        <f t="shared" si="1"/>
        <v>2003</v>
      </c>
      <c r="I19" s="16">
        <f t="shared" si="0"/>
        <v>98.502246630054913</v>
      </c>
    </row>
    <row r="20" spans="1:9" s="12" customFormat="1" ht="14.25" customHeight="1" x14ac:dyDescent="0.25">
      <c r="A20" s="17">
        <v>14</v>
      </c>
      <c r="B20" s="18" t="s">
        <v>14</v>
      </c>
      <c r="C20" s="19">
        <v>5424</v>
      </c>
      <c r="D20" s="19">
        <v>593</v>
      </c>
      <c r="E20" s="19">
        <v>2691</v>
      </c>
      <c r="F20" s="19">
        <v>2140</v>
      </c>
      <c r="G20" s="19">
        <v>138</v>
      </c>
      <c r="H20" s="19">
        <f t="shared" si="1"/>
        <v>5562</v>
      </c>
      <c r="I20" s="20">
        <f t="shared" si="0"/>
        <v>97.518878101402379</v>
      </c>
    </row>
    <row r="21" spans="1:9" s="12" customFormat="1" ht="14.25" customHeight="1" x14ac:dyDescent="0.25">
      <c r="A21" s="13">
        <v>15</v>
      </c>
      <c r="B21" s="14" t="s">
        <v>15</v>
      </c>
      <c r="C21" s="15">
        <v>1896</v>
      </c>
      <c r="D21" s="15">
        <v>161</v>
      </c>
      <c r="E21" s="15">
        <v>1091</v>
      </c>
      <c r="F21" s="15">
        <v>644</v>
      </c>
      <c r="G21" s="15">
        <v>37</v>
      </c>
      <c r="H21" s="15">
        <f t="shared" si="1"/>
        <v>1933</v>
      </c>
      <c r="I21" s="16">
        <f t="shared" si="0"/>
        <v>98.085876875323336</v>
      </c>
    </row>
    <row r="22" spans="1:9" s="12" customFormat="1" ht="14.25" customHeight="1" x14ac:dyDescent="0.25">
      <c r="A22" s="17">
        <v>16</v>
      </c>
      <c r="B22" s="18" t="s">
        <v>16</v>
      </c>
      <c r="C22" s="19">
        <v>40</v>
      </c>
      <c r="D22" s="19">
        <v>3</v>
      </c>
      <c r="E22" s="19">
        <v>8</v>
      </c>
      <c r="F22" s="19">
        <v>29</v>
      </c>
      <c r="G22" s="19">
        <v>0</v>
      </c>
      <c r="H22" s="19">
        <f t="shared" si="1"/>
        <v>40</v>
      </c>
      <c r="I22" s="20">
        <f t="shared" si="0"/>
        <v>100</v>
      </c>
    </row>
    <row r="23" spans="1:9" s="12" customFormat="1" ht="14.25" customHeight="1" x14ac:dyDescent="0.25">
      <c r="A23" s="13">
        <v>17</v>
      </c>
      <c r="B23" s="14" t="s">
        <v>47</v>
      </c>
      <c r="C23" s="15">
        <v>116</v>
      </c>
      <c r="D23" s="15">
        <v>35</v>
      </c>
      <c r="E23" s="15">
        <v>73</v>
      </c>
      <c r="F23" s="15">
        <v>8</v>
      </c>
      <c r="G23" s="15">
        <v>3</v>
      </c>
      <c r="H23" s="15">
        <f t="shared" si="1"/>
        <v>119</v>
      </c>
      <c r="I23" s="16">
        <f t="shared" si="0"/>
        <v>97.47899159663865</v>
      </c>
    </row>
    <row r="24" spans="1:9" s="12" customFormat="1" ht="14.25" customHeight="1" x14ac:dyDescent="0.25">
      <c r="A24" s="17">
        <v>18</v>
      </c>
      <c r="B24" s="18" t="s">
        <v>17</v>
      </c>
      <c r="C24" s="19">
        <v>24</v>
      </c>
      <c r="D24" s="19">
        <v>1</v>
      </c>
      <c r="E24" s="19">
        <v>20</v>
      </c>
      <c r="F24" s="19">
        <v>3</v>
      </c>
      <c r="G24" s="19">
        <v>1</v>
      </c>
      <c r="H24" s="19">
        <f t="shared" si="1"/>
        <v>25</v>
      </c>
      <c r="I24" s="20">
        <f t="shared" si="0"/>
        <v>96</v>
      </c>
    </row>
    <row r="25" spans="1:9" s="12" customFormat="1" ht="14.25" customHeight="1" x14ac:dyDescent="0.25">
      <c r="A25" s="13">
        <v>19</v>
      </c>
      <c r="B25" s="14" t="s">
        <v>18</v>
      </c>
      <c r="C25" s="15">
        <v>9</v>
      </c>
      <c r="D25" s="15">
        <v>1</v>
      </c>
      <c r="E25" s="15">
        <v>6</v>
      </c>
      <c r="F25" s="15">
        <v>2</v>
      </c>
      <c r="G25" s="15">
        <v>1</v>
      </c>
      <c r="H25" s="15">
        <f t="shared" si="1"/>
        <v>10</v>
      </c>
      <c r="I25" s="16">
        <f t="shared" si="0"/>
        <v>90</v>
      </c>
    </row>
    <row r="26" spans="1:9" s="12" customFormat="1" ht="14.25" customHeight="1" x14ac:dyDescent="0.25">
      <c r="A26" s="17">
        <v>20</v>
      </c>
      <c r="B26" s="18" t="s">
        <v>19</v>
      </c>
      <c r="C26" s="19">
        <v>2009</v>
      </c>
      <c r="D26" s="19">
        <v>95</v>
      </c>
      <c r="E26" s="19">
        <v>1061</v>
      </c>
      <c r="F26" s="19">
        <v>853</v>
      </c>
      <c r="G26" s="19">
        <v>61</v>
      </c>
      <c r="H26" s="19">
        <f t="shared" si="1"/>
        <v>2070</v>
      </c>
      <c r="I26" s="20">
        <f t="shared" si="0"/>
        <v>97.053140096618364</v>
      </c>
    </row>
    <row r="27" spans="1:9" s="12" customFormat="1" ht="14.25" customHeight="1" x14ac:dyDescent="0.25">
      <c r="A27" s="13">
        <v>21</v>
      </c>
      <c r="B27" s="14" t="s">
        <v>20</v>
      </c>
      <c r="C27" s="15">
        <v>508</v>
      </c>
      <c r="D27" s="15">
        <v>24</v>
      </c>
      <c r="E27" s="15">
        <v>334</v>
      </c>
      <c r="F27" s="15">
        <v>150</v>
      </c>
      <c r="G27" s="15">
        <v>22</v>
      </c>
      <c r="H27" s="15">
        <f t="shared" si="1"/>
        <v>530</v>
      </c>
      <c r="I27" s="16">
        <f t="shared" si="0"/>
        <v>95.84905660377359</v>
      </c>
    </row>
    <row r="28" spans="1:9" s="12" customFormat="1" ht="14.25" customHeight="1" x14ac:dyDescent="0.25">
      <c r="A28" s="17">
        <v>22</v>
      </c>
      <c r="B28" s="18" t="s">
        <v>21</v>
      </c>
      <c r="C28" s="19">
        <v>2904</v>
      </c>
      <c r="D28" s="19">
        <v>459</v>
      </c>
      <c r="E28" s="19">
        <v>1809</v>
      </c>
      <c r="F28" s="19">
        <v>636</v>
      </c>
      <c r="G28" s="19">
        <v>401</v>
      </c>
      <c r="H28" s="19">
        <f t="shared" si="1"/>
        <v>3305</v>
      </c>
      <c r="I28" s="20">
        <f t="shared" si="0"/>
        <v>87.86686838124055</v>
      </c>
    </row>
    <row r="29" spans="1:9" s="12" customFormat="1" ht="14.25" customHeight="1" x14ac:dyDescent="0.25">
      <c r="A29" s="13">
        <v>23</v>
      </c>
      <c r="B29" s="14" t="s">
        <v>22</v>
      </c>
      <c r="C29" s="15">
        <v>16</v>
      </c>
      <c r="D29" s="15">
        <v>1</v>
      </c>
      <c r="E29" s="15">
        <v>6</v>
      </c>
      <c r="F29" s="15">
        <v>9</v>
      </c>
      <c r="G29" s="15">
        <v>1</v>
      </c>
      <c r="H29" s="15">
        <f t="shared" si="1"/>
        <v>17</v>
      </c>
      <c r="I29" s="16">
        <f t="shared" si="0"/>
        <v>94.117647058823522</v>
      </c>
    </row>
    <row r="30" spans="1:9" s="12" customFormat="1" ht="14.25" customHeight="1" x14ac:dyDescent="0.25">
      <c r="A30" s="17">
        <v>24</v>
      </c>
      <c r="B30" s="18" t="s">
        <v>23</v>
      </c>
      <c r="C30" s="19">
        <v>279</v>
      </c>
      <c r="D30" s="19">
        <v>53</v>
      </c>
      <c r="E30" s="19">
        <v>92</v>
      </c>
      <c r="F30" s="19">
        <v>134</v>
      </c>
      <c r="G30" s="19">
        <v>4</v>
      </c>
      <c r="H30" s="19">
        <f t="shared" si="1"/>
        <v>283</v>
      </c>
      <c r="I30" s="20">
        <f t="shared" si="0"/>
        <v>98.586572438162548</v>
      </c>
    </row>
    <row r="31" spans="1:9" s="12" customFormat="1" ht="14.25" customHeight="1" x14ac:dyDescent="0.25">
      <c r="A31" s="13">
        <v>25</v>
      </c>
      <c r="B31" s="14" t="s">
        <v>24</v>
      </c>
      <c r="C31" s="15">
        <v>530</v>
      </c>
      <c r="D31" s="15">
        <v>81</v>
      </c>
      <c r="E31" s="15">
        <v>195</v>
      </c>
      <c r="F31" s="15">
        <v>254</v>
      </c>
      <c r="G31" s="15">
        <v>22</v>
      </c>
      <c r="H31" s="15">
        <f t="shared" si="1"/>
        <v>552</v>
      </c>
      <c r="I31" s="16">
        <f t="shared" si="0"/>
        <v>96.014492753623188</v>
      </c>
    </row>
    <row r="32" spans="1:9" s="12" customFormat="1" ht="14.25" customHeight="1" x14ac:dyDescent="0.25">
      <c r="A32" s="17">
        <v>26</v>
      </c>
      <c r="B32" s="18" t="s">
        <v>25</v>
      </c>
      <c r="C32" s="19">
        <v>90</v>
      </c>
      <c r="D32" s="19">
        <v>10</v>
      </c>
      <c r="E32" s="19">
        <v>51</v>
      </c>
      <c r="F32" s="19">
        <v>29</v>
      </c>
      <c r="G32" s="19">
        <v>5</v>
      </c>
      <c r="H32" s="19">
        <f t="shared" si="1"/>
        <v>95</v>
      </c>
      <c r="I32" s="20">
        <f t="shared" si="0"/>
        <v>94.73684210526315</v>
      </c>
    </row>
    <row r="33" spans="1:9" s="12" customFormat="1" ht="14.25" customHeight="1" x14ac:dyDescent="0.25">
      <c r="A33" s="13">
        <v>27</v>
      </c>
      <c r="B33" s="14" t="s">
        <v>26</v>
      </c>
      <c r="C33" s="15">
        <v>3816</v>
      </c>
      <c r="D33" s="15">
        <v>261</v>
      </c>
      <c r="E33" s="15">
        <v>2308</v>
      </c>
      <c r="F33" s="15">
        <v>1247</v>
      </c>
      <c r="G33" s="15">
        <v>430</v>
      </c>
      <c r="H33" s="15">
        <f t="shared" si="1"/>
        <v>4246</v>
      </c>
      <c r="I33" s="16">
        <f t="shared" si="0"/>
        <v>89.872821479039104</v>
      </c>
    </row>
    <row r="34" spans="1:9" s="12" customFormat="1" ht="14.25" customHeight="1" x14ac:dyDescent="0.25">
      <c r="A34" s="17">
        <v>28</v>
      </c>
      <c r="B34" s="18" t="s">
        <v>27</v>
      </c>
      <c r="C34" s="19">
        <v>305</v>
      </c>
      <c r="D34" s="19">
        <v>39</v>
      </c>
      <c r="E34" s="19">
        <v>161</v>
      </c>
      <c r="F34" s="19">
        <v>105</v>
      </c>
      <c r="G34" s="19">
        <v>69</v>
      </c>
      <c r="H34" s="19">
        <f t="shared" si="1"/>
        <v>374</v>
      </c>
      <c r="I34" s="20">
        <f t="shared" si="0"/>
        <v>81.550802139037444</v>
      </c>
    </row>
    <row r="35" spans="1:9" s="12" customFormat="1" ht="14.25" customHeight="1" x14ac:dyDescent="0.25">
      <c r="A35" s="13">
        <v>29</v>
      </c>
      <c r="B35" s="14" t="s">
        <v>28</v>
      </c>
      <c r="C35" s="15">
        <v>806</v>
      </c>
      <c r="D35" s="15">
        <v>16</v>
      </c>
      <c r="E35" s="15">
        <v>790</v>
      </c>
      <c r="F35" s="15">
        <v>0</v>
      </c>
      <c r="G35" s="15">
        <v>278</v>
      </c>
      <c r="H35" s="15">
        <f t="shared" si="1"/>
        <v>1084</v>
      </c>
      <c r="I35" s="16">
        <f t="shared" si="0"/>
        <v>74.354243542435427</v>
      </c>
    </row>
    <row r="36" spans="1:9" s="12" customFormat="1" ht="14.25" customHeight="1" x14ac:dyDescent="0.25">
      <c r="A36" s="21"/>
      <c r="B36" s="22" t="s">
        <v>29</v>
      </c>
      <c r="C36" s="23">
        <v>29026</v>
      </c>
      <c r="D36" s="23">
        <v>2976</v>
      </c>
      <c r="E36" s="23">
        <v>16005</v>
      </c>
      <c r="F36" s="23">
        <v>10045</v>
      </c>
      <c r="G36" s="23">
        <v>2211</v>
      </c>
      <c r="H36" s="23">
        <f t="shared" si="1"/>
        <v>31237</v>
      </c>
      <c r="I36" s="24">
        <f t="shared" si="0"/>
        <v>92.921855491884614</v>
      </c>
    </row>
    <row r="37" spans="1:9" s="12" customFormat="1" ht="14.25" customHeight="1" x14ac:dyDescent="0.25">
      <c r="A37" s="35" t="s">
        <v>30</v>
      </c>
      <c r="B37" s="36"/>
      <c r="C37" s="25"/>
      <c r="D37" s="25"/>
      <c r="E37" s="25"/>
      <c r="F37" s="26"/>
      <c r="G37" s="26"/>
      <c r="H37" s="26"/>
      <c r="I37" s="27"/>
    </row>
    <row r="38" spans="1:9" s="12" customFormat="1" ht="14.25" customHeight="1" x14ac:dyDescent="0.25">
      <c r="A38" s="13">
        <v>30</v>
      </c>
      <c r="B38" s="14" t="s">
        <v>31</v>
      </c>
      <c r="C38" s="15">
        <v>11</v>
      </c>
      <c r="D38" s="15">
        <v>1</v>
      </c>
      <c r="E38" s="15">
        <v>7</v>
      </c>
      <c r="F38" s="15">
        <v>3</v>
      </c>
      <c r="G38" s="15">
        <v>2</v>
      </c>
      <c r="H38" s="15">
        <f t="shared" si="1"/>
        <v>13</v>
      </c>
      <c r="I38" s="16">
        <f t="shared" ref="I38:I46" si="2">C38/H38*100</f>
        <v>84.615384615384613</v>
      </c>
    </row>
    <row r="39" spans="1:9" s="12" customFormat="1" ht="14.25" customHeight="1" x14ac:dyDescent="0.25">
      <c r="A39" s="17">
        <v>31</v>
      </c>
      <c r="B39" s="18" t="s">
        <v>32</v>
      </c>
      <c r="C39" s="19">
        <v>62</v>
      </c>
      <c r="D39" s="19">
        <v>9</v>
      </c>
      <c r="E39" s="19">
        <v>19</v>
      </c>
      <c r="F39" s="19">
        <v>34</v>
      </c>
      <c r="G39" s="19">
        <v>3</v>
      </c>
      <c r="H39" s="19">
        <f t="shared" si="1"/>
        <v>65</v>
      </c>
      <c r="I39" s="20">
        <f t="shared" si="2"/>
        <v>95.384615384615387</v>
      </c>
    </row>
    <row r="40" spans="1:9" s="12" customFormat="1" ht="14.25" customHeight="1" x14ac:dyDescent="0.25">
      <c r="A40" s="13">
        <v>32</v>
      </c>
      <c r="B40" s="14" t="s">
        <v>33</v>
      </c>
      <c r="C40" s="15">
        <v>1</v>
      </c>
      <c r="D40" s="15">
        <v>0</v>
      </c>
      <c r="E40" s="15">
        <v>0</v>
      </c>
      <c r="F40" s="15">
        <v>1</v>
      </c>
      <c r="G40" s="15">
        <v>0</v>
      </c>
      <c r="H40" s="15">
        <f t="shared" si="1"/>
        <v>1</v>
      </c>
      <c r="I40" s="16">
        <f t="shared" si="2"/>
        <v>100</v>
      </c>
    </row>
    <row r="41" spans="1:9" s="12" customFormat="1" ht="14.25" customHeight="1" x14ac:dyDescent="0.25">
      <c r="A41" s="17">
        <v>33</v>
      </c>
      <c r="B41" s="18" t="s">
        <v>34</v>
      </c>
      <c r="C41" s="19">
        <v>6</v>
      </c>
      <c r="D41" s="19">
        <v>1</v>
      </c>
      <c r="E41" s="19">
        <v>2</v>
      </c>
      <c r="F41" s="19">
        <v>3</v>
      </c>
      <c r="G41" s="19">
        <v>1</v>
      </c>
      <c r="H41" s="19">
        <f t="shared" si="1"/>
        <v>7</v>
      </c>
      <c r="I41" s="20">
        <f t="shared" si="2"/>
        <v>85.714285714285708</v>
      </c>
    </row>
    <row r="42" spans="1:9" s="12" customFormat="1" ht="14.25" customHeight="1" x14ac:dyDescent="0.25">
      <c r="A42" s="13">
        <v>34</v>
      </c>
      <c r="B42" s="14" t="s">
        <v>35</v>
      </c>
      <c r="C42" s="15">
        <v>1186</v>
      </c>
      <c r="D42" s="15">
        <v>162</v>
      </c>
      <c r="E42" s="15">
        <v>557</v>
      </c>
      <c r="F42" s="15">
        <v>467</v>
      </c>
      <c r="G42" s="15">
        <v>43</v>
      </c>
      <c r="H42" s="15">
        <f t="shared" si="1"/>
        <v>1229</v>
      </c>
      <c r="I42" s="16">
        <f t="shared" si="2"/>
        <v>96.501220504475185</v>
      </c>
    </row>
    <row r="43" spans="1:9" s="12" customFormat="1" ht="14.25" customHeight="1" x14ac:dyDescent="0.25">
      <c r="A43" s="17">
        <v>35</v>
      </c>
      <c r="B43" s="18" t="s">
        <v>36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f t="shared" si="1"/>
        <v>0</v>
      </c>
      <c r="I43" s="20" t="s">
        <v>45</v>
      </c>
    </row>
    <row r="44" spans="1:9" s="12" customFormat="1" ht="14.25" customHeight="1" x14ac:dyDescent="0.25">
      <c r="A44" s="13">
        <v>36</v>
      </c>
      <c r="B44" s="14" t="s">
        <v>37</v>
      </c>
      <c r="C44" s="15">
        <v>7</v>
      </c>
      <c r="D44" s="15">
        <v>6</v>
      </c>
      <c r="E44" s="15">
        <v>1</v>
      </c>
      <c r="F44" s="15">
        <v>0</v>
      </c>
      <c r="G44" s="15">
        <v>0</v>
      </c>
      <c r="H44" s="15">
        <f t="shared" si="1"/>
        <v>7</v>
      </c>
      <c r="I44" s="16">
        <f t="shared" si="2"/>
        <v>100</v>
      </c>
    </row>
    <row r="45" spans="1:9" s="12" customFormat="1" ht="14.25" customHeight="1" x14ac:dyDescent="0.25">
      <c r="A45" s="21"/>
      <c r="B45" s="22" t="s">
        <v>38</v>
      </c>
      <c r="C45" s="23">
        <v>1273</v>
      </c>
      <c r="D45" s="23">
        <v>179</v>
      </c>
      <c r="E45" s="23">
        <v>586</v>
      </c>
      <c r="F45" s="23">
        <v>508</v>
      </c>
      <c r="G45" s="23">
        <v>49</v>
      </c>
      <c r="H45" s="23">
        <f t="shared" si="1"/>
        <v>1322</v>
      </c>
      <c r="I45" s="24">
        <f t="shared" si="2"/>
        <v>96.293494704992426</v>
      </c>
    </row>
    <row r="46" spans="1:9" s="12" customFormat="1" ht="14.25" customHeight="1" x14ac:dyDescent="0.25">
      <c r="A46" s="28"/>
      <c r="B46" s="29" t="s">
        <v>39</v>
      </c>
      <c r="C46" s="30">
        <v>30299</v>
      </c>
      <c r="D46" s="30">
        <v>3155</v>
      </c>
      <c r="E46" s="30">
        <v>16591</v>
      </c>
      <c r="F46" s="30">
        <v>10553</v>
      </c>
      <c r="G46" s="30">
        <v>2260</v>
      </c>
      <c r="H46" s="30">
        <f t="shared" si="1"/>
        <v>32559</v>
      </c>
      <c r="I46" s="31">
        <f t="shared" si="2"/>
        <v>93.058754875763995</v>
      </c>
    </row>
    <row r="47" spans="1:9" ht="13.5" customHeight="1" x14ac:dyDescent="0.25">
      <c r="A47" s="2" t="s">
        <v>54</v>
      </c>
      <c r="B47" s="8"/>
      <c r="C47" s="32" t="s">
        <v>57</v>
      </c>
      <c r="D47" s="8"/>
      <c r="E47" s="8"/>
      <c r="F47" s="8"/>
      <c r="G47" s="3"/>
      <c r="H47" s="4"/>
      <c r="I47" s="4" t="s">
        <v>56</v>
      </c>
    </row>
    <row r="48" spans="1:9" ht="13.5" customHeight="1" x14ac:dyDescent="0.25">
      <c r="A48" s="5" t="s">
        <v>55</v>
      </c>
    </row>
  </sheetData>
  <mergeCells count="10">
    <mergeCell ref="A1:I1"/>
    <mergeCell ref="A2:I2"/>
    <mergeCell ref="A37:B37"/>
    <mergeCell ref="A6:B6"/>
    <mergeCell ref="A3:A4"/>
    <mergeCell ref="B3:B4"/>
    <mergeCell ref="I3:I4"/>
    <mergeCell ref="G3:G4"/>
    <mergeCell ref="C3:F3"/>
    <mergeCell ref="H3:H4"/>
  </mergeCells>
  <printOptions horizontalCentered="1"/>
  <pageMargins left="0.5" right="0.5" top="0.4" bottom="0.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2019-07-22T07:24:21Z</cp:lastPrinted>
  <dcterms:created xsi:type="dcterms:W3CDTF">2017-09-12T06:08:51Z</dcterms:created>
  <dcterms:modified xsi:type="dcterms:W3CDTF">2019-10-15T05:17:20Z</dcterms:modified>
</cp:coreProperties>
</file>