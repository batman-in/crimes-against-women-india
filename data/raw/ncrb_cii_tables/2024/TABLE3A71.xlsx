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AB27" i="1" l="1"/>
  <c r="AA27" i="1"/>
  <c r="Z27" i="1" l="1"/>
  <c r="Y27" i="1"/>
  <c r="X27" i="1"/>
  <c r="U27" i="1"/>
  <c r="T27" i="1"/>
  <c r="S27" i="1"/>
  <c r="R27" i="1"/>
  <c r="Q27" i="1"/>
  <c r="N27" i="1"/>
  <c r="M27" i="1"/>
  <c r="L27" i="1"/>
  <c r="K27" i="1"/>
  <c r="J27" i="1"/>
  <c r="D27" i="1"/>
  <c r="E27" i="1"/>
  <c r="F27" i="1"/>
  <c r="G27" i="1"/>
  <c r="C27" i="1"/>
</calcChain>
</file>

<file path=xl/sharedStrings.xml><?xml version="1.0" encoding="utf-8"?>
<sst xmlns="http://schemas.openxmlformats.org/spreadsheetml/2006/main" count="657" uniqueCount="169">
  <si>
    <t>TABLE 3A.7</t>
  </si>
  <si>
    <t>Court Disposal of Crime against Women (Crime Head-wise) - 2024</t>
  </si>
  <si>
    <t>Court Disposal of Crime against Women (Crime Head-wise)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</si>
  <si>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</si>
  <si>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</si>
  <si>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</si>
  <si>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</si>
  <si>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</si>
  <si>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</si>
  <si>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</si>
  <si>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</si>
  <si>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</si>
  <si>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</si>
  <si>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</si>
  <si>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</si>
  <si>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</si>
  <si>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</si>
  <si>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</si>
  <si>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</si>
  <si>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</si>
  <si>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</si>
  <si>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</si>
  <si>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</si>
  <si>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</si>
  <si>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</si>
  <si>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</si>
  <si>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</si>
  <si>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</si>
  <si>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</si>
  <si>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</si>
  <si>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</si>
  <si>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</si>
  <si>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</si>
  <si>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</si>
  <si>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</si>
  <si>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</si>
  <si>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</si>
  <si>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</si>
  <si>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</si>
  <si>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</si>
  <si>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</si>
  <si>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</si>
  <si>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</si>
  <si>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</si>
  <si>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</si>
  <si>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</si>
  <si>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</si>
  <si>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</si>
  <si>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Rape</t>
  </si>
  <si>
    <t>1.1</t>
  </si>
  <si>
    <t>Women</t>
  </si>
  <si>
    <t>1.2</t>
  </si>
  <si>
    <t>Girls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</si>
  <si>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</si>
  <si>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</si>
  <si>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</si>
  <si>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</si>
  <si>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</si>
  <si>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</si>
  <si>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</si>
  <si>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</si>
  <si>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</si>
  <si>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</si>
  <si>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</si>
  <si>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</si>
  <si>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</si>
  <si>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</si>
  <si>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</si>
  <si>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</si>
  <si>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</si>
  <si>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</si>
  <si>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</si>
  <si>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</si>
  <si>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-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</si>
  <si>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</si>
  <si>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</si>
  <si>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</si>
  <si>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</si>
  <si>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</si>
  <si>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</si>
  <si>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</si>
  <si>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</si>
  <si>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</si>
  <si>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</si>
  <si>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</si>
  <si>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</si>
  <si>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</si>
  <si>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</si>
  <si>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</si>
  <si>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</si>
  <si>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</si>
  <si>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</si>
  <si>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</si>
  <si>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</si>
  <si>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</si>
  <si>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</si>
  <si>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</si>
  <si>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</si>
  <si>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</si>
  <si>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3A.7 Page 1 of 8</t>
  </si>
  <si>
    <t>TABLE 3A.7 Page 2 of 8</t>
  </si>
  <si>
    <t>TABLE 3A.7 Page 3 of 8</t>
  </si>
  <si>
    <t>TABLE 3A.7 Page 4 of 8</t>
  </si>
  <si>
    <t>Court Disposal of Crime against Women (Crime Head-wise)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</si>
  <si>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</si>
  <si>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</si>
  <si>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</si>
  <si>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</si>
  <si>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</si>
  <si>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</si>
  <si>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</si>
  <si>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</si>
  <si>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</si>
  <si>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</si>
  <si>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</si>
  <si>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</si>
  <si>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</si>
  <si>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</si>
  <si>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</si>
  <si>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</si>
  <si>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</si>
  <si>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</si>
  <si>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</si>
  <si>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</si>
  <si>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</si>
  <si>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</si>
  <si>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</si>
  <si>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</si>
  <si>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</si>
  <si>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</si>
  <si>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</si>
  <si>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</si>
  <si>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</si>
  <si>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</si>
  <si>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</si>
  <si>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</si>
  <si>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</si>
  <si>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</si>
  <si>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</si>
  <si>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</si>
  <si>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</si>
  <si>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</si>
  <si>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</si>
  <si>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</si>
  <si>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</si>
  <si>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</si>
  <si>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</si>
  <si>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</si>
  <si>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</si>
  <si>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</si>
  <si>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</si>
  <si>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</si>
  <si>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</si>
  <si>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</si>
  <si>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</si>
  <si>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</si>
  <si>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</si>
  <si>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</si>
  <si>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</si>
  <si>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</si>
  <si>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</si>
  <si>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</si>
  <si>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</si>
  <si>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</si>
  <si>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</si>
  <si>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3A.7 Page 5 of 8</t>
  </si>
  <si>
    <t>TABLE 3A.7 Page 6 of 8</t>
  </si>
  <si>
    <t>TABLE 3A.7 Page 7 of 8</t>
  </si>
  <si>
    <t>TABLE 3A.7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</si>
</sst>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5" xfId="0" applyNumberFormat="1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164" fontId="4" fillId="3" borderId="1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0" fontId="4" fillId="0" borderId="0" xfId="0" applyFont="1"/>
    <xf numFmtId="0" fontId="2" fillId="2" borderId="4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0"/>
  <sheetViews>
    <sheetView tabSelected="1" topLeftCell="P10" workbookViewId="0">
      <selection activeCell="AD37" sqref="AD37"/>
    </sheetView>
  </sheetViews>
  <sheetFormatPr defaultRowHeight="15" x14ac:dyDescent="0.25"/>
  <cols>
    <col min="1" max="1" width="5.7109375" customWidth="1"/>
    <col min="2" max="2" width="40.28515625" customWidth="1"/>
    <col min="3" max="7" width="9.7109375" customWidth="1"/>
    <col min="8" max="8" width="5.7109375" customWidth="1"/>
    <col min="9" max="9" width="40.28515625" customWidth="1"/>
    <col min="10" max="14" width="9.7109375" customWidth="1"/>
    <col min="15" max="15" width="5.7109375" customWidth="1"/>
    <col min="16" max="16" width="40.28515625" customWidth="1"/>
    <col min="17" max="21" width="9.7109375" customWidth="1"/>
    <col min="22" max="22" width="5.7109375" customWidth="1"/>
    <col min="23" max="23" width="40.28515625" customWidth="1"/>
    <col min="24" max="28" width="9.7109375" customWidth="1"/>
  </cols>
  <sheetData>
    <row r="1" spans="1:28" ht="14.45" x14ac:dyDescent="0.3">
      <c r="A1" s="48" t="s">
        <v>0</v>
      </c>
      <c r="B1" s="48"/>
      <c r="C1" s="48"/>
      <c r="D1" s="48"/>
      <c r="E1" s="48"/>
      <c r="F1" s="48"/>
      <c r="G1" s="48"/>
      <c r="H1" s="48" t="s">
        <v>0</v>
      </c>
      <c r="I1" s="48"/>
      <c r="J1" s="48"/>
      <c r="K1" s="48"/>
      <c r="L1" s="48"/>
      <c r="M1" s="48"/>
      <c r="N1" s="48"/>
      <c r="O1" s="48" t="s">
        <v>0</v>
      </c>
      <c r="P1" s="48"/>
      <c r="Q1" s="48"/>
      <c r="R1" s="48"/>
      <c r="S1" s="48"/>
      <c r="T1" s="48"/>
      <c r="U1" s="48"/>
      <c r="V1" s="48" t="s">
        <v>0</v>
      </c>
      <c r="W1" s="48"/>
      <c r="X1" s="48"/>
      <c r="Y1" s="48"/>
      <c r="Z1" s="48"/>
      <c r="AA1" s="48"/>
      <c r="AB1" s="48"/>
    </row>
    <row r="2" spans="1:28" ht="14.45" x14ac:dyDescent="0.3">
      <c r="A2" s="48" t="s">
        <v>1</v>
      </c>
      <c r="B2" s="48"/>
      <c r="C2" s="48"/>
      <c r="D2" s="48"/>
      <c r="E2" s="48"/>
      <c r="F2" s="48"/>
      <c r="G2" s="48"/>
      <c r="H2" s="48" t="s">
        <v>2</v>
      </c>
      <c r="I2" s="48"/>
      <c r="J2" s="48"/>
      <c r="K2" s="48"/>
      <c r="L2" s="48"/>
      <c r="M2" s="48"/>
      <c r="N2" s="48"/>
      <c r="O2" s="48" t="s">
        <v>2</v>
      </c>
      <c r="P2" s="48"/>
      <c r="Q2" s="48"/>
      <c r="R2" s="48"/>
      <c r="S2" s="48"/>
      <c r="T2" s="48"/>
      <c r="U2" s="48"/>
      <c r="V2" s="48" t="s">
        <v>2</v>
      </c>
      <c r="W2" s="48"/>
      <c r="X2" s="48"/>
      <c r="Y2" s="48"/>
      <c r="Z2" s="48"/>
      <c r="AA2" s="48"/>
      <c r="AB2" s="48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ht="14.45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ht="14.45" x14ac:dyDescent="0.3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4.45" x14ac:dyDescent="0.3">
      <c r="A6" s="11" t="s">
        <v>47</v>
      </c>
      <c r="B6" s="12" t="s">
        <v>48</v>
      </c>
      <c r="C6" s="13">
        <v>182163</v>
      </c>
      <c r="D6" s="13">
        <v>24614</v>
      </c>
      <c r="E6" s="13">
        <v>206777</v>
      </c>
      <c r="F6" s="13">
        <v>112</v>
      </c>
      <c r="G6" s="14">
        <v>3</v>
      </c>
      <c r="H6" s="11" t="s">
        <v>47</v>
      </c>
      <c r="I6" s="12" t="s">
        <v>48</v>
      </c>
      <c r="J6" s="13">
        <v>80</v>
      </c>
      <c r="K6" s="13">
        <v>6</v>
      </c>
      <c r="L6" s="13">
        <v>204</v>
      </c>
      <c r="M6" s="13">
        <v>405</v>
      </c>
      <c r="N6" s="14">
        <v>74</v>
      </c>
      <c r="O6" s="11" t="s">
        <v>47</v>
      </c>
      <c r="P6" s="12" t="s">
        <v>48</v>
      </c>
      <c r="Q6" s="13">
        <v>4611</v>
      </c>
      <c r="R6" s="13">
        <v>421</v>
      </c>
      <c r="S6" s="13">
        <v>5032</v>
      </c>
      <c r="T6" s="13">
        <v>1575</v>
      </c>
      <c r="U6" s="14">
        <v>13980</v>
      </c>
      <c r="V6" s="11" t="s">
        <v>47</v>
      </c>
      <c r="W6" s="12" t="s">
        <v>48</v>
      </c>
      <c r="X6" s="13">
        <v>20587</v>
      </c>
      <c r="Y6" s="13">
        <v>20992</v>
      </c>
      <c r="Z6" s="13">
        <v>185785</v>
      </c>
      <c r="AA6" s="25">
        <v>24.4</v>
      </c>
      <c r="AB6" s="26">
        <v>89.8</v>
      </c>
    </row>
    <row r="7" spans="1:28" ht="14.45" x14ac:dyDescent="0.3">
      <c r="A7" s="15" t="s">
        <v>49</v>
      </c>
      <c r="B7" s="16" t="s">
        <v>50</v>
      </c>
      <c r="C7" s="17">
        <v>158356</v>
      </c>
      <c r="D7" s="17">
        <v>23900</v>
      </c>
      <c r="E7" s="17">
        <v>182256</v>
      </c>
      <c r="F7" s="17">
        <v>99</v>
      </c>
      <c r="G7" s="18">
        <v>3</v>
      </c>
      <c r="H7" s="15" t="s">
        <v>49</v>
      </c>
      <c r="I7" s="16" t="s">
        <v>50</v>
      </c>
      <c r="J7" s="17">
        <v>79</v>
      </c>
      <c r="K7" s="17">
        <v>6</v>
      </c>
      <c r="L7" s="17">
        <v>170</v>
      </c>
      <c r="M7" s="17">
        <v>357</v>
      </c>
      <c r="N7" s="18">
        <v>74</v>
      </c>
      <c r="O7" s="15" t="s">
        <v>49</v>
      </c>
      <c r="P7" s="16" t="s">
        <v>50</v>
      </c>
      <c r="Q7" s="17">
        <v>4020</v>
      </c>
      <c r="R7" s="17">
        <v>404</v>
      </c>
      <c r="S7" s="17">
        <v>4424</v>
      </c>
      <c r="T7" s="17">
        <v>1499</v>
      </c>
      <c r="U7" s="18">
        <v>12729</v>
      </c>
      <c r="V7" s="15" t="s">
        <v>49</v>
      </c>
      <c r="W7" s="16" t="s">
        <v>50</v>
      </c>
      <c r="X7" s="17">
        <v>18652</v>
      </c>
      <c r="Y7" s="17">
        <v>19009</v>
      </c>
      <c r="Z7" s="17">
        <v>163247</v>
      </c>
      <c r="AA7" s="27">
        <v>23.7</v>
      </c>
      <c r="AB7" s="28">
        <v>89.6</v>
      </c>
    </row>
    <row r="8" spans="1:28" ht="14.45" x14ac:dyDescent="0.3">
      <c r="A8" s="11" t="s">
        <v>51</v>
      </c>
      <c r="B8" s="12" t="s">
        <v>52</v>
      </c>
      <c r="C8" s="13">
        <v>23807</v>
      </c>
      <c r="D8" s="13">
        <v>714</v>
      </c>
      <c r="E8" s="13">
        <v>24521</v>
      </c>
      <c r="F8" s="13">
        <v>13</v>
      </c>
      <c r="G8" s="14">
        <v>0</v>
      </c>
      <c r="H8" s="11" t="s">
        <v>51</v>
      </c>
      <c r="I8" s="12" t="s">
        <v>52</v>
      </c>
      <c r="J8" s="13">
        <v>1</v>
      </c>
      <c r="K8" s="13">
        <v>0</v>
      </c>
      <c r="L8" s="13">
        <v>34</v>
      </c>
      <c r="M8" s="13">
        <v>48</v>
      </c>
      <c r="N8" s="14">
        <v>0</v>
      </c>
      <c r="O8" s="11" t="s">
        <v>51</v>
      </c>
      <c r="P8" s="12" t="s">
        <v>52</v>
      </c>
      <c r="Q8" s="13">
        <v>591</v>
      </c>
      <c r="R8" s="13">
        <v>17</v>
      </c>
      <c r="S8" s="13">
        <v>608</v>
      </c>
      <c r="T8" s="13">
        <v>76</v>
      </c>
      <c r="U8" s="14">
        <v>1251</v>
      </c>
      <c r="V8" s="11" t="s">
        <v>51</v>
      </c>
      <c r="W8" s="12" t="s">
        <v>52</v>
      </c>
      <c r="X8" s="13">
        <v>1935</v>
      </c>
      <c r="Y8" s="13">
        <v>1983</v>
      </c>
      <c r="Z8" s="13">
        <v>22538</v>
      </c>
      <c r="AA8" s="25">
        <v>31.4</v>
      </c>
      <c r="AB8" s="26">
        <v>91.9</v>
      </c>
    </row>
    <row r="9" spans="1:28" ht="14.45" x14ac:dyDescent="0.3">
      <c r="A9" s="15" t="s">
        <v>53</v>
      </c>
      <c r="B9" s="16" t="s">
        <v>54</v>
      </c>
      <c r="C9" s="17">
        <v>0</v>
      </c>
      <c r="D9" s="17">
        <v>735</v>
      </c>
      <c r="E9" s="17">
        <v>735</v>
      </c>
      <c r="F9" s="17">
        <v>0</v>
      </c>
      <c r="G9" s="18">
        <v>0</v>
      </c>
      <c r="H9" s="15" t="s">
        <v>53</v>
      </c>
      <c r="I9" s="16" t="s">
        <v>54</v>
      </c>
      <c r="J9" s="17">
        <v>1</v>
      </c>
      <c r="K9" s="17">
        <v>0</v>
      </c>
      <c r="L9" s="17">
        <v>0</v>
      </c>
      <c r="M9" s="17">
        <v>1</v>
      </c>
      <c r="N9" s="18">
        <v>0</v>
      </c>
      <c r="O9" s="15" t="s">
        <v>53</v>
      </c>
      <c r="P9" s="16" t="s">
        <v>54</v>
      </c>
      <c r="Q9" s="17">
        <v>0</v>
      </c>
      <c r="R9" s="17">
        <v>22</v>
      </c>
      <c r="S9" s="17">
        <v>22</v>
      </c>
      <c r="T9" s="17">
        <v>0</v>
      </c>
      <c r="U9" s="18">
        <v>7</v>
      </c>
      <c r="V9" s="15" t="s">
        <v>53</v>
      </c>
      <c r="W9" s="16" t="s">
        <v>54</v>
      </c>
      <c r="X9" s="17">
        <v>29</v>
      </c>
      <c r="Y9" s="17">
        <v>30</v>
      </c>
      <c r="Z9" s="17">
        <v>705</v>
      </c>
      <c r="AA9" s="27">
        <v>75.900000000000006</v>
      </c>
      <c r="AB9" s="28">
        <v>95.9</v>
      </c>
    </row>
    <row r="10" spans="1:28" ht="14.45" x14ac:dyDescent="0.3">
      <c r="A10" s="11" t="s">
        <v>55</v>
      </c>
      <c r="B10" s="12" t="s">
        <v>56</v>
      </c>
      <c r="C10" s="13">
        <v>1402</v>
      </c>
      <c r="D10" s="13">
        <v>229</v>
      </c>
      <c r="E10" s="13">
        <v>1631</v>
      </c>
      <c r="F10" s="13">
        <v>2</v>
      </c>
      <c r="G10" s="14">
        <v>0</v>
      </c>
      <c r="H10" s="11" t="s">
        <v>55</v>
      </c>
      <c r="I10" s="12" t="s">
        <v>56</v>
      </c>
      <c r="J10" s="13">
        <v>0</v>
      </c>
      <c r="K10" s="13">
        <v>0</v>
      </c>
      <c r="L10" s="13">
        <v>0</v>
      </c>
      <c r="M10" s="13">
        <v>2</v>
      </c>
      <c r="N10" s="14">
        <v>0</v>
      </c>
      <c r="O10" s="11" t="s">
        <v>55</v>
      </c>
      <c r="P10" s="12" t="s">
        <v>56</v>
      </c>
      <c r="Q10" s="13">
        <v>39</v>
      </c>
      <c r="R10" s="13">
        <v>3</v>
      </c>
      <c r="S10" s="13">
        <v>42</v>
      </c>
      <c r="T10" s="13">
        <v>0</v>
      </c>
      <c r="U10" s="14">
        <v>13</v>
      </c>
      <c r="V10" s="11" t="s">
        <v>55</v>
      </c>
      <c r="W10" s="12" t="s">
        <v>56</v>
      </c>
      <c r="X10" s="13">
        <v>55</v>
      </c>
      <c r="Y10" s="13">
        <v>57</v>
      </c>
      <c r="Z10" s="13">
        <v>1574</v>
      </c>
      <c r="AA10" s="25">
        <v>76.400000000000006</v>
      </c>
      <c r="AB10" s="26">
        <v>96.5</v>
      </c>
    </row>
    <row r="11" spans="1:28" ht="14.45" x14ac:dyDescent="0.3">
      <c r="A11" s="15" t="s">
        <v>57</v>
      </c>
      <c r="B11" s="16" t="s">
        <v>58</v>
      </c>
      <c r="C11" s="17">
        <v>20681</v>
      </c>
      <c r="D11" s="17">
        <v>1846</v>
      </c>
      <c r="E11" s="17">
        <v>22527</v>
      </c>
      <c r="F11" s="17">
        <v>7</v>
      </c>
      <c r="G11" s="18">
        <v>0</v>
      </c>
      <c r="H11" s="15" t="s">
        <v>57</v>
      </c>
      <c r="I11" s="16" t="s">
        <v>58</v>
      </c>
      <c r="J11" s="17">
        <v>18</v>
      </c>
      <c r="K11" s="17">
        <v>1</v>
      </c>
      <c r="L11" s="17">
        <v>5</v>
      </c>
      <c r="M11" s="17">
        <v>31</v>
      </c>
      <c r="N11" s="18">
        <v>3</v>
      </c>
      <c r="O11" s="15" t="s">
        <v>57</v>
      </c>
      <c r="P11" s="16" t="s">
        <v>58</v>
      </c>
      <c r="Q11" s="17">
        <v>295</v>
      </c>
      <c r="R11" s="17">
        <v>29</v>
      </c>
      <c r="S11" s="17">
        <v>324</v>
      </c>
      <c r="T11" s="17">
        <v>106</v>
      </c>
      <c r="U11" s="18">
        <v>881</v>
      </c>
      <c r="V11" s="15" t="s">
        <v>57</v>
      </c>
      <c r="W11" s="16" t="s">
        <v>58</v>
      </c>
      <c r="X11" s="17">
        <v>1311</v>
      </c>
      <c r="Y11" s="17">
        <v>1342</v>
      </c>
      <c r="Z11" s="17">
        <v>21185</v>
      </c>
      <c r="AA11" s="27">
        <v>24.7</v>
      </c>
      <c r="AB11" s="28">
        <v>94</v>
      </c>
    </row>
    <row r="12" spans="1:28" ht="14.45" x14ac:dyDescent="0.3">
      <c r="A12" s="11" t="s">
        <v>59</v>
      </c>
      <c r="B12" s="12" t="s">
        <v>50</v>
      </c>
      <c r="C12" s="13">
        <v>19343</v>
      </c>
      <c r="D12" s="13">
        <v>1778</v>
      </c>
      <c r="E12" s="13">
        <v>21121</v>
      </c>
      <c r="F12" s="13">
        <v>6</v>
      </c>
      <c r="G12" s="14">
        <v>0</v>
      </c>
      <c r="H12" s="11" t="s">
        <v>59</v>
      </c>
      <c r="I12" s="12" t="s">
        <v>50</v>
      </c>
      <c r="J12" s="13">
        <v>18</v>
      </c>
      <c r="K12" s="13">
        <v>1</v>
      </c>
      <c r="L12" s="13">
        <v>5</v>
      </c>
      <c r="M12" s="13">
        <v>30</v>
      </c>
      <c r="N12" s="14">
        <v>3</v>
      </c>
      <c r="O12" s="11" t="s">
        <v>59</v>
      </c>
      <c r="P12" s="12" t="s">
        <v>50</v>
      </c>
      <c r="Q12" s="13">
        <v>265</v>
      </c>
      <c r="R12" s="13">
        <v>25</v>
      </c>
      <c r="S12" s="13">
        <v>290</v>
      </c>
      <c r="T12" s="13">
        <v>102</v>
      </c>
      <c r="U12" s="14">
        <v>814</v>
      </c>
      <c r="V12" s="11" t="s">
        <v>59</v>
      </c>
      <c r="W12" s="12" t="s">
        <v>50</v>
      </c>
      <c r="X12" s="13">
        <v>1206</v>
      </c>
      <c r="Y12" s="13">
        <v>1236</v>
      </c>
      <c r="Z12" s="13">
        <v>19885</v>
      </c>
      <c r="AA12" s="25">
        <v>24</v>
      </c>
      <c r="AB12" s="26">
        <v>94.1</v>
      </c>
    </row>
    <row r="13" spans="1:28" ht="14.45" x14ac:dyDescent="0.3">
      <c r="A13" s="15" t="s">
        <v>60</v>
      </c>
      <c r="B13" s="16" t="s">
        <v>52</v>
      </c>
      <c r="C13" s="17">
        <v>1338</v>
      </c>
      <c r="D13" s="17">
        <v>68</v>
      </c>
      <c r="E13" s="17">
        <v>1406</v>
      </c>
      <c r="F13" s="17">
        <v>1</v>
      </c>
      <c r="G13" s="18">
        <v>0</v>
      </c>
      <c r="H13" s="15" t="s">
        <v>60</v>
      </c>
      <c r="I13" s="16" t="s">
        <v>52</v>
      </c>
      <c r="J13" s="17">
        <v>0</v>
      </c>
      <c r="K13" s="17">
        <v>0</v>
      </c>
      <c r="L13" s="17">
        <v>0</v>
      </c>
      <c r="M13" s="17">
        <v>1</v>
      </c>
      <c r="N13" s="18">
        <v>0</v>
      </c>
      <c r="O13" s="15" t="s">
        <v>60</v>
      </c>
      <c r="P13" s="16" t="s">
        <v>52</v>
      </c>
      <c r="Q13" s="17">
        <v>30</v>
      </c>
      <c r="R13" s="17">
        <v>4</v>
      </c>
      <c r="S13" s="17">
        <v>34</v>
      </c>
      <c r="T13" s="17">
        <v>4</v>
      </c>
      <c r="U13" s="18">
        <v>67</v>
      </c>
      <c r="V13" s="15" t="s">
        <v>60</v>
      </c>
      <c r="W13" s="16" t="s">
        <v>52</v>
      </c>
      <c r="X13" s="17">
        <v>105</v>
      </c>
      <c r="Y13" s="17">
        <v>106</v>
      </c>
      <c r="Z13" s="17">
        <v>1300</v>
      </c>
      <c r="AA13" s="27">
        <v>32.4</v>
      </c>
      <c r="AB13" s="28">
        <v>92.5</v>
      </c>
    </row>
    <row r="14" spans="1:28" ht="27.6" x14ac:dyDescent="0.3">
      <c r="A14" s="11" t="s">
        <v>61</v>
      </c>
      <c r="B14" s="12" t="s">
        <v>62</v>
      </c>
      <c r="C14" s="13">
        <v>303534</v>
      </c>
      <c r="D14" s="13">
        <v>40357</v>
      </c>
      <c r="E14" s="13">
        <v>343891</v>
      </c>
      <c r="F14" s="13">
        <v>200</v>
      </c>
      <c r="G14" s="14">
        <v>46</v>
      </c>
      <c r="H14" s="11" t="s">
        <v>61</v>
      </c>
      <c r="I14" s="12" t="s">
        <v>62</v>
      </c>
      <c r="J14" s="13">
        <v>2956</v>
      </c>
      <c r="K14" s="13">
        <v>159</v>
      </c>
      <c r="L14" s="13">
        <v>243</v>
      </c>
      <c r="M14" s="13">
        <v>3604</v>
      </c>
      <c r="N14" s="14">
        <v>32</v>
      </c>
      <c r="O14" s="11" t="s">
        <v>61</v>
      </c>
      <c r="P14" s="12" t="s">
        <v>62</v>
      </c>
      <c r="Q14" s="13">
        <v>4053</v>
      </c>
      <c r="R14" s="13">
        <v>527</v>
      </c>
      <c r="S14" s="13">
        <v>4580</v>
      </c>
      <c r="T14" s="13">
        <v>1418</v>
      </c>
      <c r="U14" s="14">
        <v>16798</v>
      </c>
      <c r="V14" s="11" t="s">
        <v>61</v>
      </c>
      <c r="W14" s="12" t="s">
        <v>62</v>
      </c>
      <c r="X14" s="13">
        <v>22796</v>
      </c>
      <c r="Y14" s="13">
        <v>26400</v>
      </c>
      <c r="Z14" s="13">
        <v>317491</v>
      </c>
      <c r="AA14" s="25">
        <v>20.100000000000001</v>
      </c>
      <c r="AB14" s="26">
        <v>92.3</v>
      </c>
    </row>
    <row r="15" spans="1:28" ht="14.45" x14ac:dyDescent="0.3">
      <c r="A15" s="15" t="s">
        <v>63</v>
      </c>
      <c r="B15" s="16" t="s">
        <v>50</v>
      </c>
      <c r="C15" s="17">
        <v>303534</v>
      </c>
      <c r="D15" s="17">
        <v>40087</v>
      </c>
      <c r="E15" s="17">
        <v>343621</v>
      </c>
      <c r="F15" s="17">
        <v>200</v>
      </c>
      <c r="G15" s="18">
        <v>46</v>
      </c>
      <c r="H15" s="15" t="s">
        <v>63</v>
      </c>
      <c r="I15" s="16" t="s">
        <v>50</v>
      </c>
      <c r="J15" s="17">
        <v>2956</v>
      </c>
      <c r="K15" s="17">
        <v>159</v>
      </c>
      <c r="L15" s="17">
        <v>243</v>
      </c>
      <c r="M15" s="17">
        <v>3604</v>
      </c>
      <c r="N15" s="18">
        <v>32</v>
      </c>
      <c r="O15" s="15" t="s">
        <v>63</v>
      </c>
      <c r="P15" s="16" t="s">
        <v>50</v>
      </c>
      <c r="Q15" s="17">
        <v>4053</v>
      </c>
      <c r="R15" s="17">
        <v>525</v>
      </c>
      <c r="S15" s="17">
        <v>4578</v>
      </c>
      <c r="T15" s="17">
        <v>1418</v>
      </c>
      <c r="U15" s="18">
        <v>16798</v>
      </c>
      <c r="V15" s="15" t="s">
        <v>63</v>
      </c>
      <c r="W15" s="16" t="s">
        <v>50</v>
      </c>
      <c r="X15" s="17">
        <v>22794</v>
      </c>
      <c r="Y15" s="17">
        <v>26398</v>
      </c>
      <c r="Z15" s="17">
        <v>317223</v>
      </c>
      <c r="AA15" s="27">
        <v>20.100000000000001</v>
      </c>
      <c r="AB15" s="28">
        <v>92.3</v>
      </c>
    </row>
    <row r="16" spans="1:28" ht="14.45" x14ac:dyDescent="0.3">
      <c r="A16" s="11" t="s">
        <v>64</v>
      </c>
      <c r="B16" s="12" t="s">
        <v>52</v>
      </c>
      <c r="C16" s="13">
        <v>0</v>
      </c>
      <c r="D16" s="13">
        <v>270</v>
      </c>
      <c r="E16" s="13">
        <v>270</v>
      </c>
      <c r="F16" s="13">
        <v>0</v>
      </c>
      <c r="G16" s="14">
        <v>0</v>
      </c>
      <c r="H16" s="11" t="s">
        <v>64</v>
      </c>
      <c r="I16" s="12" t="s">
        <v>52</v>
      </c>
      <c r="J16" s="13">
        <v>0</v>
      </c>
      <c r="K16" s="13">
        <v>0</v>
      </c>
      <c r="L16" s="13">
        <v>0</v>
      </c>
      <c r="M16" s="13">
        <v>0</v>
      </c>
      <c r="N16" s="14">
        <v>0</v>
      </c>
      <c r="O16" s="11" t="s">
        <v>64</v>
      </c>
      <c r="P16" s="12" t="s">
        <v>52</v>
      </c>
      <c r="Q16" s="13">
        <v>0</v>
      </c>
      <c r="R16" s="13">
        <v>2</v>
      </c>
      <c r="S16" s="13">
        <v>2</v>
      </c>
      <c r="T16" s="13">
        <v>0</v>
      </c>
      <c r="U16" s="14">
        <v>0</v>
      </c>
      <c r="V16" s="11" t="s">
        <v>64</v>
      </c>
      <c r="W16" s="12" t="s">
        <v>52</v>
      </c>
      <c r="X16" s="13">
        <v>2</v>
      </c>
      <c r="Y16" s="13">
        <v>2</v>
      </c>
      <c r="Z16" s="13">
        <v>268</v>
      </c>
      <c r="AA16" s="25">
        <v>100</v>
      </c>
      <c r="AB16" s="26">
        <v>99.3</v>
      </c>
    </row>
    <row r="17" spans="1:28" ht="14.45" x14ac:dyDescent="0.3">
      <c r="A17" s="15" t="s">
        <v>65</v>
      </c>
      <c r="B17" s="16" t="s">
        <v>66</v>
      </c>
      <c r="C17" s="17">
        <v>118273</v>
      </c>
      <c r="D17" s="17">
        <v>13459</v>
      </c>
      <c r="E17" s="17">
        <v>131732</v>
      </c>
      <c r="F17" s="17">
        <v>60</v>
      </c>
      <c r="G17" s="18">
        <v>7</v>
      </c>
      <c r="H17" s="15" t="s">
        <v>65</v>
      </c>
      <c r="I17" s="16" t="s">
        <v>66</v>
      </c>
      <c r="J17" s="17">
        <v>805</v>
      </c>
      <c r="K17" s="17">
        <v>18</v>
      </c>
      <c r="L17" s="17">
        <v>80</v>
      </c>
      <c r="M17" s="17">
        <v>970</v>
      </c>
      <c r="N17" s="18">
        <v>11</v>
      </c>
      <c r="O17" s="15" t="s">
        <v>65</v>
      </c>
      <c r="P17" s="16" t="s">
        <v>66</v>
      </c>
      <c r="Q17" s="17">
        <v>2997</v>
      </c>
      <c r="R17" s="17">
        <v>305</v>
      </c>
      <c r="S17" s="17">
        <v>3302</v>
      </c>
      <c r="T17" s="17">
        <v>583</v>
      </c>
      <c r="U17" s="18">
        <v>3989</v>
      </c>
      <c r="V17" s="15" t="s">
        <v>65</v>
      </c>
      <c r="W17" s="16" t="s">
        <v>66</v>
      </c>
      <c r="X17" s="17">
        <v>7874</v>
      </c>
      <c r="Y17" s="17">
        <v>8844</v>
      </c>
      <c r="Z17" s="17">
        <v>122888</v>
      </c>
      <c r="AA17" s="27">
        <v>41.9</v>
      </c>
      <c r="AB17" s="28">
        <v>93.3</v>
      </c>
    </row>
    <row r="18" spans="1:28" ht="14.45" x14ac:dyDescent="0.3">
      <c r="A18" s="11" t="s">
        <v>67</v>
      </c>
      <c r="B18" s="12" t="s">
        <v>50</v>
      </c>
      <c r="C18" s="13">
        <v>118273</v>
      </c>
      <c r="D18" s="13">
        <v>13286</v>
      </c>
      <c r="E18" s="13">
        <v>131559</v>
      </c>
      <c r="F18" s="13">
        <v>60</v>
      </c>
      <c r="G18" s="14">
        <v>7</v>
      </c>
      <c r="H18" s="11" t="s">
        <v>67</v>
      </c>
      <c r="I18" s="12" t="s">
        <v>50</v>
      </c>
      <c r="J18" s="13">
        <v>805</v>
      </c>
      <c r="K18" s="13">
        <v>18</v>
      </c>
      <c r="L18" s="13">
        <v>80</v>
      </c>
      <c r="M18" s="13">
        <v>970</v>
      </c>
      <c r="N18" s="14">
        <v>11</v>
      </c>
      <c r="O18" s="11" t="s">
        <v>67</v>
      </c>
      <c r="P18" s="12" t="s">
        <v>50</v>
      </c>
      <c r="Q18" s="13">
        <v>2997</v>
      </c>
      <c r="R18" s="13">
        <v>305</v>
      </c>
      <c r="S18" s="13">
        <v>3302</v>
      </c>
      <c r="T18" s="13">
        <v>583</v>
      </c>
      <c r="U18" s="14">
        <v>3987</v>
      </c>
      <c r="V18" s="11" t="s">
        <v>67</v>
      </c>
      <c r="W18" s="12" t="s">
        <v>50</v>
      </c>
      <c r="X18" s="13">
        <v>7872</v>
      </c>
      <c r="Y18" s="13">
        <v>8842</v>
      </c>
      <c r="Z18" s="13">
        <v>122717</v>
      </c>
      <c r="AA18" s="25">
        <v>41.9</v>
      </c>
      <c r="AB18" s="26">
        <v>93.3</v>
      </c>
    </row>
    <row r="19" spans="1:28" ht="14.45" x14ac:dyDescent="0.3">
      <c r="A19" s="15" t="s">
        <v>68</v>
      </c>
      <c r="B19" s="16" t="s">
        <v>52</v>
      </c>
      <c r="C19" s="17">
        <v>0</v>
      </c>
      <c r="D19" s="17">
        <v>173</v>
      </c>
      <c r="E19" s="17">
        <v>173</v>
      </c>
      <c r="F19" s="17">
        <v>0</v>
      </c>
      <c r="G19" s="18">
        <v>0</v>
      </c>
      <c r="H19" s="15" t="s">
        <v>68</v>
      </c>
      <c r="I19" s="16" t="s">
        <v>52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  <c r="O19" s="15" t="s">
        <v>68</v>
      </c>
      <c r="P19" s="16" t="s">
        <v>52</v>
      </c>
      <c r="Q19" s="17">
        <v>0</v>
      </c>
      <c r="R19" s="17">
        <v>0</v>
      </c>
      <c r="S19" s="17">
        <v>0</v>
      </c>
      <c r="T19" s="17">
        <v>0</v>
      </c>
      <c r="U19" s="18">
        <v>2</v>
      </c>
      <c r="V19" s="15" t="s">
        <v>68</v>
      </c>
      <c r="W19" s="16" t="s">
        <v>52</v>
      </c>
      <c r="X19" s="17">
        <v>2</v>
      </c>
      <c r="Y19" s="17">
        <v>2</v>
      </c>
      <c r="Z19" s="17">
        <v>171</v>
      </c>
      <c r="AA19" s="27">
        <v>0</v>
      </c>
      <c r="AB19" s="28">
        <v>98.8</v>
      </c>
    </row>
    <row r="20" spans="1:28" ht="27.6" x14ac:dyDescent="0.3">
      <c r="A20" s="11" t="s">
        <v>69</v>
      </c>
      <c r="B20" s="12" t="s">
        <v>70</v>
      </c>
      <c r="C20" s="13">
        <v>57276</v>
      </c>
      <c r="D20" s="13">
        <v>7056</v>
      </c>
      <c r="E20" s="13">
        <v>64332</v>
      </c>
      <c r="F20" s="13">
        <v>17</v>
      </c>
      <c r="G20" s="14">
        <v>1</v>
      </c>
      <c r="H20" s="11" t="s">
        <v>69</v>
      </c>
      <c r="I20" s="12" t="s">
        <v>70</v>
      </c>
      <c r="J20" s="13">
        <v>157</v>
      </c>
      <c r="K20" s="13">
        <v>4</v>
      </c>
      <c r="L20" s="13">
        <v>38</v>
      </c>
      <c r="M20" s="13">
        <v>217</v>
      </c>
      <c r="N20" s="14">
        <v>3</v>
      </c>
      <c r="O20" s="11" t="s">
        <v>69</v>
      </c>
      <c r="P20" s="12" t="s">
        <v>70</v>
      </c>
      <c r="Q20" s="13">
        <v>631</v>
      </c>
      <c r="R20" s="13">
        <v>98</v>
      </c>
      <c r="S20" s="13">
        <v>729</v>
      </c>
      <c r="T20" s="13">
        <v>52</v>
      </c>
      <c r="U20" s="14">
        <v>2114</v>
      </c>
      <c r="V20" s="11" t="s">
        <v>69</v>
      </c>
      <c r="W20" s="12" t="s">
        <v>70</v>
      </c>
      <c r="X20" s="13">
        <v>2895</v>
      </c>
      <c r="Y20" s="13">
        <v>3112</v>
      </c>
      <c r="Z20" s="13">
        <v>61220</v>
      </c>
      <c r="AA20" s="25">
        <v>25.2</v>
      </c>
      <c r="AB20" s="26">
        <v>95.2</v>
      </c>
    </row>
    <row r="21" spans="1:28" ht="14.45" x14ac:dyDescent="0.3">
      <c r="A21" s="15" t="s">
        <v>71</v>
      </c>
      <c r="B21" s="16" t="s">
        <v>50</v>
      </c>
      <c r="C21" s="17">
        <v>57276</v>
      </c>
      <c r="D21" s="17">
        <v>7033</v>
      </c>
      <c r="E21" s="17">
        <v>64309</v>
      </c>
      <c r="F21" s="17">
        <v>17</v>
      </c>
      <c r="G21" s="18">
        <v>1</v>
      </c>
      <c r="H21" s="15" t="s">
        <v>71</v>
      </c>
      <c r="I21" s="16" t="s">
        <v>50</v>
      </c>
      <c r="J21" s="17">
        <v>157</v>
      </c>
      <c r="K21" s="17">
        <v>4</v>
      </c>
      <c r="L21" s="17">
        <v>38</v>
      </c>
      <c r="M21" s="17">
        <v>217</v>
      </c>
      <c r="N21" s="18">
        <v>3</v>
      </c>
      <c r="O21" s="15" t="s">
        <v>71</v>
      </c>
      <c r="P21" s="16" t="s">
        <v>50</v>
      </c>
      <c r="Q21" s="17">
        <v>631</v>
      </c>
      <c r="R21" s="17">
        <v>98</v>
      </c>
      <c r="S21" s="17">
        <v>729</v>
      </c>
      <c r="T21" s="17">
        <v>52</v>
      </c>
      <c r="U21" s="18">
        <v>2114</v>
      </c>
      <c r="V21" s="15" t="s">
        <v>71</v>
      </c>
      <c r="W21" s="16" t="s">
        <v>50</v>
      </c>
      <c r="X21" s="17">
        <v>2895</v>
      </c>
      <c r="Y21" s="17">
        <v>3112</v>
      </c>
      <c r="Z21" s="17">
        <v>61197</v>
      </c>
      <c r="AA21" s="27">
        <v>25.2</v>
      </c>
      <c r="AB21" s="28">
        <v>95.2</v>
      </c>
    </row>
    <row r="22" spans="1:28" ht="14.45" x14ac:dyDescent="0.3">
      <c r="A22" s="11" t="s">
        <v>72</v>
      </c>
      <c r="B22" s="12" t="s">
        <v>52</v>
      </c>
      <c r="C22" s="13">
        <v>0</v>
      </c>
      <c r="D22" s="13">
        <v>23</v>
      </c>
      <c r="E22" s="13">
        <v>23</v>
      </c>
      <c r="F22" s="13">
        <v>0</v>
      </c>
      <c r="G22" s="14">
        <v>0</v>
      </c>
      <c r="H22" s="11" t="s">
        <v>72</v>
      </c>
      <c r="I22" s="12" t="s">
        <v>52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72</v>
      </c>
      <c r="P22" s="12" t="s">
        <v>52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72</v>
      </c>
      <c r="W22" s="12" t="s">
        <v>52</v>
      </c>
      <c r="X22" s="13">
        <v>0</v>
      </c>
      <c r="Y22" s="13">
        <v>0</v>
      </c>
      <c r="Z22" s="13">
        <v>23</v>
      </c>
      <c r="AA22" s="29" t="s">
        <v>73</v>
      </c>
      <c r="AB22" s="26">
        <v>100</v>
      </c>
    </row>
    <row r="23" spans="1:28" ht="14.45" x14ac:dyDescent="0.3">
      <c r="A23" s="15" t="s">
        <v>74</v>
      </c>
      <c r="B23" s="16" t="s">
        <v>75</v>
      </c>
      <c r="C23" s="17">
        <v>7217</v>
      </c>
      <c r="D23" s="17">
        <v>1366</v>
      </c>
      <c r="E23" s="17">
        <v>8583</v>
      </c>
      <c r="F23" s="17">
        <v>4</v>
      </c>
      <c r="G23" s="18">
        <v>0</v>
      </c>
      <c r="H23" s="15" t="s">
        <v>74</v>
      </c>
      <c r="I23" s="16" t="s">
        <v>75</v>
      </c>
      <c r="J23" s="17">
        <v>82</v>
      </c>
      <c r="K23" s="17">
        <v>1</v>
      </c>
      <c r="L23" s="17">
        <v>3</v>
      </c>
      <c r="M23" s="17">
        <v>90</v>
      </c>
      <c r="N23" s="18">
        <v>0</v>
      </c>
      <c r="O23" s="15" t="s">
        <v>74</v>
      </c>
      <c r="P23" s="16" t="s">
        <v>75</v>
      </c>
      <c r="Q23" s="17">
        <v>86</v>
      </c>
      <c r="R23" s="17">
        <v>18</v>
      </c>
      <c r="S23" s="17">
        <v>104</v>
      </c>
      <c r="T23" s="17">
        <v>14</v>
      </c>
      <c r="U23" s="18">
        <v>263</v>
      </c>
      <c r="V23" s="15" t="s">
        <v>74</v>
      </c>
      <c r="W23" s="16" t="s">
        <v>75</v>
      </c>
      <c r="X23" s="17">
        <v>381</v>
      </c>
      <c r="Y23" s="17">
        <v>471</v>
      </c>
      <c r="Z23" s="17">
        <v>8112</v>
      </c>
      <c r="AA23" s="27">
        <v>27.3</v>
      </c>
      <c r="AB23" s="28">
        <v>94.5</v>
      </c>
    </row>
    <row r="24" spans="1:28" ht="14.45" x14ac:dyDescent="0.3">
      <c r="A24" s="11" t="s">
        <v>76</v>
      </c>
      <c r="B24" s="12" t="s">
        <v>50</v>
      </c>
      <c r="C24" s="13">
        <v>7217</v>
      </c>
      <c r="D24" s="13">
        <v>1361</v>
      </c>
      <c r="E24" s="13">
        <v>8578</v>
      </c>
      <c r="F24" s="13">
        <v>4</v>
      </c>
      <c r="G24" s="14">
        <v>0</v>
      </c>
      <c r="H24" s="11" t="s">
        <v>76</v>
      </c>
      <c r="I24" s="12" t="s">
        <v>50</v>
      </c>
      <c r="J24" s="13">
        <v>82</v>
      </c>
      <c r="K24" s="13">
        <v>1</v>
      </c>
      <c r="L24" s="13">
        <v>3</v>
      </c>
      <c r="M24" s="13">
        <v>90</v>
      </c>
      <c r="N24" s="14">
        <v>0</v>
      </c>
      <c r="O24" s="11" t="s">
        <v>76</v>
      </c>
      <c r="P24" s="12" t="s">
        <v>50</v>
      </c>
      <c r="Q24" s="13">
        <v>86</v>
      </c>
      <c r="R24" s="13">
        <v>18</v>
      </c>
      <c r="S24" s="13">
        <v>104</v>
      </c>
      <c r="T24" s="13">
        <v>14</v>
      </c>
      <c r="U24" s="14">
        <v>263</v>
      </c>
      <c r="V24" s="11" t="s">
        <v>76</v>
      </c>
      <c r="W24" s="12" t="s">
        <v>50</v>
      </c>
      <c r="X24" s="13">
        <v>381</v>
      </c>
      <c r="Y24" s="13">
        <v>471</v>
      </c>
      <c r="Z24" s="13">
        <v>8107</v>
      </c>
      <c r="AA24" s="25">
        <v>27.3</v>
      </c>
      <c r="AB24" s="26">
        <v>94.5</v>
      </c>
    </row>
    <row r="25" spans="1:28" ht="14.45" x14ac:dyDescent="0.3">
      <c r="A25" s="15" t="s">
        <v>77</v>
      </c>
      <c r="B25" s="16" t="s">
        <v>52</v>
      </c>
      <c r="C25" s="17">
        <v>0</v>
      </c>
      <c r="D25" s="17">
        <v>5</v>
      </c>
      <c r="E25" s="17">
        <v>5</v>
      </c>
      <c r="F25" s="17">
        <v>0</v>
      </c>
      <c r="G25" s="18">
        <v>0</v>
      </c>
      <c r="H25" s="15" t="s">
        <v>77</v>
      </c>
      <c r="I25" s="16" t="s">
        <v>52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77</v>
      </c>
      <c r="P25" s="16" t="s">
        <v>52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77</v>
      </c>
      <c r="W25" s="16" t="s">
        <v>52</v>
      </c>
      <c r="X25" s="17">
        <v>0</v>
      </c>
      <c r="Y25" s="17">
        <v>0</v>
      </c>
      <c r="Z25" s="17">
        <v>5</v>
      </c>
      <c r="AA25" s="30" t="s">
        <v>73</v>
      </c>
      <c r="AB25" s="28">
        <v>100</v>
      </c>
    </row>
    <row r="26" spans="1:28" ht="14.45" x14ac:dyDescent="0.3">
      <c r="A26" s="11" t="s">
        <v>78</v>
      </c>
      <c r="B26" s="12" t="s">
        <v>79</v>
      </c>
      <c r="C26" s="13">
        <v>47189</v>
      </c>
      <c r="D26" s="13">
        <v>9124</v>
      </c>
      <c r="E26" s="13">
        <v>56313</v>
      </c>
      <c r="F26" s="13">
        <v>58</v>
      </c>
      <c r="G26" s="14">
        <v>2</v>
      </c>
      <c r="H26" s="11" t="s">
        <v>78</v>
      </c>
      <c r="I26" s="12" t="s">
        <v>79</v>
      </c>
      <c r="J26" s="13">
        <v>965</v>
      </c>
      <c r="K26" s="13">
        <v>4</v>
      </c>
      <c r="L26" s="13">
        <v>70</v>
      </c>
      <c r="M26" s="13">
        <v>1099</v>
      </c>
      <c r="N26" s="14">
        <v>4</v>
      </c>
      <c r="O26" s="11" t="s">
        <v>78</v>
      </c>
      <c r="P26" s="12" t="s">
        <v>79</v>
      </c>
      <c r="Q26" s="13">
        <v>615</v>
      </c>
      <c r="R26" s="13">
        <v>127</v>
      </c>
      <c r="S26" s="13">
        <v>742</v>
      </c>
      <c r="T26" s="13">
        <v>82</v>
      </c>
      <c r="U26" s="14">
        <v>2117</v>
      </c>
      <c r="V26" s="11" t="s">
        <v>78</v>
      </c>
      <c r="W26" s="12" t="s">
        <v>79</v>
      </c>
      <c r="X26" s="13">
        <v>2941</v>
      </c>
      <c r="Y26" s="13">
        <v>4040</v>
      </c>
      <c r="Z26" s="13">
        <v>52273</v>
      </c>
      <c r="AA26" s="25">
        <v>25.2</v>
      </c>
      <c r="AB26" s="26">
        <v>92.8</v>
      </c>
    </row>
    <row r="27" spans="1:28" ht="14.45" x14ac:dyDescent="0.3">
      <c r="A27" s="15" t="s">
        <v>80</v>
      </c>
      <c r="B27" s="16" t="s">
        <v>50</v>
      </c>
      <c r="C27" s="17">
        <f>C26-C28</f>
        <v>47189</v>
      </c>
      <c r="D27" s="17">
        <f t="shared" ref="D27:G27" si="0">D26-D28</f>
        <v>9057</v>
      </c>
      <c r="E27" s="17">
        <f t="shared" si="0"/>
        <v>56246</v>
      </c>
      <c r="F27" s="17">
        <f t="shared" si="0"/>
        <v>58</v>
      </c>
      <c r="G27" s="18">
        <f t="shared" si="0"/>
        <v>2</v>
      </c>
      <c r="H27" s="15" t="s">
        <v>80</v>
      </c>
      <c r="I27" s="16" t="s">
        <v>50</v>
      </c>
      <c r="J27" s="17">
        <f t="shared" ref="J27" si="1">J26-J28</f>
        <v>965</v>
      </c>
      <c r="K27" s="17">
        <f t="shared" ref="K27" si="2">K26-K28</f>
        <v>4</v>
      </c>
      <c r="L27" s="17">
        <f t="shared" ref="L27" si="3">L26-L28</f>
        <v>70</v>
      </c>
      <c r="M27" s="17">
        <f t="shared" ref="M27" si="4">M26-M28</f>
        <v>1099</v>
      </c>
      <c r="N27" s="18">
        <f t="shared" ref="N27" si="5">N26-N28</f>
        <v>4</v>
      </c>
      <c r="O27" s="15" t="s">
        <v>80</v>
      </c>
      <c r="P27" s="16" t="s">
        <v>50</v>
      </c>
      <c r="Q27" s="17">
        <f t="shared" ref="Q27" si="6">Q26-Q28</f>
        <v>615</v>
      </c>
      <c r="R27" s="17">
        <f t="shared" ref="R27" si="7">R26-R28</f>
        <v>127</v>
      </c>
      <c r="S27" s="17">
        <f t="shared" ref="S27" si="8">S26-S28</f>
        <v>742</v>
      </c>
      <c r="T27" s="17">
        <f t="shared" ref="T27" si="9">T26-T28</f>
        <v>82</v>
      </c>
      <c r="U27" s="18">
        <f t="shared" ref="U27" si="10">U26-U28</f>
        <v>2117</v>
      </c>
      <c r="V27" s="15" t="s">
        <v>80</v>
      </c>
      <c r="W27" s="16" t="s">
        <v>50</v>
      </c>
      <c r="X27" s="17">
        <f t="shared" ref="X27" si="11">X26-X28</f>
        <v>2941</v>
      </c>
      <c r="Y27" s="17">
        <f t="shared" ref="Y27" si="12">Y26-Y28</f>
        <v>4040</v>
      </c>
      <c r="Z27" s="17">
        <f t="shared" ref="Z27" si="13">Z26-Z28</f>
        <v>52206</v>
      </c>
      <c r="AA27" s="27">
        <f>S27/X27*100</f>
        <v>25.229513770826252</v>
      </c>
      <c r="AB27" s="28">
        <f>Z27/E27*100</f>
        <v>92.817267005653733</v>
      </c>
    </row>
    <row r="28" spans="1:28" ht="14.45" x14ac:dyDescent="0.3">
      <c r="A28" s="11" t="s">
        <v>81</v>
      </c>
      <c r="B28" s="12" t="s">
        <v>52</v>
      </c>
      <c r="C28" s="13">
        <v>0</v>
      </c>
      <c r="D28" s="13">
        <v>67</v>
      </c>
      <c r="E28" s="13">
        <v>67</v>
      </c>
      <c r="F28" s="13">
        <v>0</v>
      </c>
      <c r="G28" s="14">
        <v>0</v>
      </c>
      <c r="H28" s="11" t="s">
        <v>81</v>
      </c>
      <c r="I28" s="12" t="s">
        <v>52</v>
      </c>
      <c r="J28" s="13">
        <v>0</v>
      </c>
      <c r="K28" s="13">
        <v>0</v>
      </c>
      <c r="L28" s="13">
        <v>0</v>
      </c>
      <c r="M28" s="13">
        <v>0</v>
      </c>
      <c r="N28" s="14">
        <v>0</v>
      </c>
      <c r="O28" s="11" t="s">
        <v>81</v>
      </c>
      <c r="P28" s="12" t="s">
        <v>52</v>
      </c>
      <c r="Q28" s="13">
        <v>0</v>
      </c>
      <c r="R28" s="13">
        <v>0</v>
      </c>
      <c r="S28" s="13">
        <v>0</v>
      </c>
      <c r="T28" s="13">
        <v>0</v>
      </c>
      <c r="U28" s="14">
        <v>0</v>
      </c>
      <c r="V28" s="11" t="s">
        <v>81</v>
      </c>
      <c r="W28" s="12" t="s">
        <v>52</v>
      </c>
      <c r="X28" s="13">
        <v>0</v>
      </c>
      <c r="Y28" s="13">
        <v>0</v>
      </c>
      <c r="Z28" s="13">
        <v>67</v>
      </c>
      <c r="AA28" s="29" t="s">
        <v>73</v>
      </c>
      <c r="AB28" s="26">
        <v>100</v>
      </c>
    </row>
    <row r="29" spans="1:28" ht="14.45" x14ac:dyDescent="0.3">
      <c r="A29" s="15" t="s">
        <v>82</v>
      </c>
      <c r="B29" s="16" t="s">
        <v>83</v>
      </c>
      <c r="C29" s="17">
        <v>50157</v>
      </c>
      <c r="D29" s="17">
        <v>7090</v>
      </c>
      <c r="E29" s="17">
        <v>57247</v>
      </c>
      <c r="F29" s="17">
        <v>35</v>
      </c>
      <c r="G29" s="18">
        <v>10</v>
      </c>
      <c r="H29" s="15" t="s">
        <v>82</v>
      </c>
      <c r="I29" s="16" t="s">
        <v>83</v>
      </c>
      <c r="J29" s="17">
        <v>1332</v>
      </c>
      <c r="K29" s="17">
        <v>28</v>
      </c>
      <c r="L29" s="17">
        <v>41</v>
      </c>
      <c r="M29" s="17">
        <v>1446</v>
      </c>
      <c r="N29" s="18">
        <v>3</v>
      </c>
      <c r="O29" s="15" t="s">
        <v>82</v>
      </c>
      <c r="P29" s="16" t="s">
        <v>83</v>
      </c>
      <c r="Q29" s="17">
        <v>314</v>
      </c>
      <c r="R29" s="17">
        <v>84</v>
      </c>
      <c r="S29" s="17">
        <v>398</v>
      </c>
      <c r="T29" s="17">
        <v>126</v>
      </c>
      <c r="U29" s="18">
        <v>2067</v>
      </c>
      <c r="V29" s="15" t="s">
        <v>82</v>
      </c>
      <c r="W29" s="16" t="s">
        <v>83</v>
      </c>
      <c r="X29" s="17">
        <v>2591</v>
      </c>
      <c r="Y29" s="17">
        <v>4037</v>
      </c>
      <c r="Z29" s="17">
        <v>53210</v>
      </c>
      <c r="AA29" s="27">
        <v>15.4</v>
      </c>
      <c r="AB29" s="28">
        <v>92.9</v>
      </c>
    </row>
    <row r="30" spans="1:28" ht="14.45" x14ac:dyDescent="0.3">
      <c r="A30" s="11" t="s">
        <v>84</v>
      </c>
      <c r="B30" s="12" t="s">
        <v>50</v>
      </c>
      <c r="C30" s="13">
        <v>49082</v>
      </c>
      <c r="D30" s="13">
        <v>7076</v>
      </c>
      <c r="E30" s="13">
        <v>56158</v>
      </c>
      <c r="F30" s="13">
        <v>35</v>
      </c>
      <c r="G30" s="14">
        <v>10</v>
      </c>
      <c r="H30" s="11" t="s">
        <v>84</v>
      </c>
      <c r="I30" s="12" t="s">
        <v>50</v>
      </c>
      <c r="J30" s="13">
        <v>1332</v>
      </c>
      <c r="K30" s="13">
        <v>28</v>
      </c>
      <c r="L30" s="13">
        <v>41</v>
      </c>
      <c r="M30" s="13">
        <v>1446</v>
      </c>
      <c r="N30" s="14">
        <v>3</v>
      </c>
      <c r="O30" s="11" t="s">
        <v>84</v>
      </c>
      <c r="P30" s="12" t="s">
        <v>50</v>
      </c>
      <c r="Q30" s="13">
        <v>310</v>
      </c>
      <c r="R30" s="13">
        <v>84</v>
      </c>
      <c r="S30" s="13">
        <v>394</v>
      </c>
      <c r="T30" s="13">
        <v>125</v>
      </c>
      <c r="U30" s="14">
        <v>1984</v>
      </c>
      <c r="V30" s="11" t="s">
        <v>84</v>
      </c>
      <c r="W30" s="12" t="s">
        <v>50</v>
      </c>
      <c r="X30" s="13">
        <v>2503</v>
      </c>
      <c r="Y30" s="13">
        <v>3949</v>
      </c>
      <c r="Z30" s="13">
        <v>52209</v>
      </c>
      <c r="AA30" s="25">
        <v>15.7</v>
      </c>
      <c r="AB30" s="26">
        <v>93</v>
      </c>
    </row>
    <row r="31" spans="1:28" ht="14.45" x14ac:dyDescent="0.3">
      <c r="A31" s="15" t="s">
        <v>85</v>
      </c>
      <c r="B31" s="16" t="s">
        <v>52</v>
      </c>
      <c r="C31" s="17">
        <v>1075</v>
      </c>
      <c r="D31" s="17">
        <v>14</v>
      </c>
      <c r="E31" s="17">
        <v>1089</v>
      </c>
      <c r="F31" s="17">
        <v>0</v>
      </c>
      <c r="G31" s="18">
        <v>0</v>
      </c>
      <c r="H31" s="15" t="s">
        <v>85</v>
      </c>
      <c r="I31" s="16" t="s">
        <v>52</v>
      </c>
      <c r="J31" s="17">
        <v>0</v>
      </c>
      <c r="K31" s="17">
        <v>0</v>
      </c>
      <c r="L31" s="17">
        <v>0</v>
      </c>
      <c r="M31" s="17">
        <v>0</v>
      </c>
      <c r="N31" s="18">
        <v>0</v>
      </c>
      <c r="O31" s="15" t="s">
        <v>85</v>
      </c>
      <c r="P31" s="16" t="s">
        <v>52</v>
      </c>
      <c r="Q31" s="17">
        <v>4</v>
      </c>
      <c r="R31" s="17">
        <v>0</v>
      </c>
      <c r="S31" s="17">
        <v>4</v>
      </c>
      <c r="T31" s="17">
        <v>1</v>
      </c>
      <c r="U31" s="18">
        <v>83</v>
      </c>
      <c r="V31" s="15" t="s">
        <v>85</v>
      </c>
      <c r="W31" s="16" t="s">
        <v>52</v>
      </c>
      <c r="X31" s="17">
        <v>88</v>
      </c>
      <c r="Y31" s="17">
        <v>88</v>
      </c>
      <c r="Z31" s="17">
        <v>1001</v>
      </c>
      <c r="AA31" s="27">
        <v>4.5</v>
      </c>
      <c r="AB31" s="28">
        <v>91.9</v>
      </c>
    </row>
    <row r="32" spans="1:28" ht="14.45" x14ac:dyDescent="0.3">
      <c r="A32" s="11" t="s">
        <v>86</v>
      </c>
      <c r="B32" s="12" t="s">
        <v>87</v>
      </c>
      <c r="C32" s="13">
        <v>58225</v>
      </c>
      <c r="D32" s="13">
        <v>5291</v>
      </c>
      <c r="E32" s="13">
        <v>63516</v>
      </c>
      <c r="F32" s="13">
        <v>9</v>
      </c>
      <c r="G32" s="14">
        <v>1</v>
      </c>
      <c r="H32" s="11" t="s">
        <v>86</v>
      </c>
      <c r="I32" s="12" t="s">
        <v>87</v>
      </c>
      <c r="J32" s="13">
        <v>12</v>
      </c>
      <c r="K32" s="13">
        <v>3</v>
      </c>
      <c r="L32" s="13">
        <v>2</v>
      </c>
      <c r="M32" s="13">
        <v>27</v>
      </c>
      <c r="N32" s="14">
        <v>10</v>
      </c>
      <c r="O32" s="11" t="s">
        <v>86</v>
      </c>
      <c r="P32" s="12" t="s">
        <v>87</v>
      </c>
      <c r="Q32" s="13">
        <v>1733</v>
      </c>
      <c r="R32" s="13">
        <v>136</v>
      </c>
      <c r="S32" s="13">
        <v>1869</v>
      </c>
      <c r="T32" s="13">
        <v>150</v>
      </c>
      <c r="U32" s="14">
        <v>2024</v>
      </c>
      <c r="V32" s="11" t="s">
        <v>86</v>
      </c>
      <c r="W32" s="12" t="s">
        <v>87</v>
      </c>
      <c r="X32" s="13">
        <v>4043</v>
      </c>
      <c r="Y32" s="13">
        <v>4070</v>
      </c>
      <c r="Z32" s="13">
        <v>59446</v>
      </c>
      <c r="AA32" s="25">
        <v>46.2</v>
      </c>
      <c r="AB32" s="26">
        <v>93.6</v>
      </c>
    </row>
    <row r="33" spans="1:28" ht="14.45" x14ac:dyDescent="0.3">
      <c r="A33" s="15" t="s">
        <v>88</v>
      </c>
      <c r="B33" s="16" t="s">
        <v>89</v>
      </c>
      <c r="C33" s="17">
        <v>818625</v>
      </c>
      <c r="D33" s="17">
        <v>108574</v>
      </c>
      <c r="E33" s="17">
        <v>927199</v>
      </c>
      <c r="F33" s="17">
        <v>368</v>
      </c>
      <c r="G33" s="18">
        <v>247</v>
      </c>
      <c r="H33" s="15" t="s">
        <v>88</v>
      </c>
      <c r="I33" s="16" t="s">
        <v>89</v>
      </c>
      <c r="J33" s="17">
        <v>16396</v>
      </c>
      <c r="K33" s="17">
        <v>507</v>
      </c>
      <c r="L33" s="17">
        <v>1746</v>
      </c>
      <c r="M33" s="17">
        <v>19264</v>
      </c>
      <c r="N33" s="18">
        <v>226</v>
      </c>
      <c r="O33" s="15" t="s">
        <v>88</v>
      </c>
      <c r="P33" s="16" t="s">
        <v>89</v>
      </c>
      <c r="Q33" s="17">
        <v>8883</v>
      </c>
      <c r="R33" s="17">
        <v>1806</v>
      </c>
      <c r="S33" s="17">
        <v>10689</v>
      </c>
      <c r="T33" s="17">
        <v>2443</v>
      </c>
      <c r="U33" s="18">
        <v>40005</v>
      </c>
      <c r="V33" s="15" t="s">
        <v>88</v>
      </c>
      <c r="W33" s="16" t="s">
        <v>89</v>
      </c>
      <c r="X33" s="17">
        <v>53137</v>
      </c>
      <c r="Y33" s="17">
        <v>72401</v>
      </c>
      <c r="Z33" s="17">
        <v>854798</v>
      </c>
      <c r="AA33" s="27">
        <v>20.100000000000001</v>
      </c>
      <c r="AB33" s="28">
        <v>92.2</v>
      </c>
    </row>
    <row r="34" spans="1:28" ht="27.6" x14ac:dyDescent="0.3">
      <c r="A34" s="11" t="s">
        <v>90</v>
      </c>
      <c r="B34" s="12" t="s">
        <v>91</v>
      </c>
      <c r="C34" s="13">
        <v>137266</v>
      </c>
      <c r="D34" s="13">
        <v>13743</v>
      </c>
      <c r="E34" s="13">
        <v>151009</v>
      </c>
      <c r="F34" s="13">
        <v>11</v>
      </c>
      <c r="G34" s="14">
        <v>6</v>
      </c>
      <c r="H34" s="11" t="s">
        <v>90</v>
      </c>
      <c r="I34" s="12" t="s">
        <v>91</v>
      </c>
      <c r="J34" s="13">
        <v>441</v>
      </c>
      <c r="K34" s="13">
        <v>1</v>
      </c>
      <c r="L34" s="13">
        <v>19</v>
      </c>
      <c r="M34" s="13">
        <v>478</v>
      </c>
      <c r="N34" s="14">
        <v>6</v>
      </c>
      <c r="O34" s="11" t="s">
        <v>90</v>
      </c>
      <c r="P34" s="12" t="s">
        <v>91</v>
      </c>
      <c r="Q34" s="13">
        <v>2141</v>
      </c>
      <c r="R34" s="13">
        <v>205</v>
      </c>
      <c r="S34" s="13">
        <v>2346</v>
      </c>
      <c r="T34" s="13">
        <v>506</v>
      </c>
      <c r="U34" s="14">
        <v>3870</v>
      </c>
      <c r="V34" s="11" t="s">
        <v>90</v>
      </c>
      <c r="W34" s="12" t="s">
        <v>91</v>
      </c>
      <c r="X34" s="13">
        <v>6722</v>
      </c>
      <c r="Y34" s="13">
        <v>7200</v>
      </c>
      <c r="Z34" s="13">
        <v>143809</v>
      </c>
      <c r="AA34" s="25">
        <v>34.9</v>
      </c>
      <c r="AB34" s="26">
        <v>95.2</v>
      </c>
    </row>
    <row r="35" spans="1:28" ht="14.45" x14ac:dyDescent="0.3">
      <c r="A35" s="15" t="s">
        <v>92</v>
      </c>
      <c r="B35" s="16" t="s">
        <v>50</v>
      </c>
      <c r="C35" s="17">
        <v>73846</v>
      </c>
      <c r="D35" s="17">
        <v>7065</v>
      </c>
      <c r="E35" s="17">
        <v>80911</v>
      </c>
      <c r="F35" s="17">
        <v>7</v>
      </c>
      <c r="G35" s="18">
        <v>6</v>
      </c>
      <c r="H35" s="15" t="s">
        <v>92</v>
      </c>
      <c r="I35" s="16" t="s">
        <v>50</v>
      </c>
      <c r="J35" s="17">
        <v>392</v>
      </c>
      <c r="K35" s="17">
        <v>0</v>
      </c>
      <c r="L35" s="17">
        <v>10</v>
      </c>
      <c r="M35" s="17">
        <v>415</v>
      </c>
      <c r="N35" s="18">
        <v>2</v>
      </c>
      <c r="O35" s="15" t="s">
        <v>92</v>
      </c>
      <c r="P35" s="16" t="s">
        <v>50</v>
      </c>
      <c r="Q35" s="17">
        <v>1340</v>
      </c>
      <c r="R35" s="17">
        <v>154</v>
      </c>
      <c r="S35" s="17">
        <v>1494</v>
      </c>
      <c r="T35" s="17">
        <v>98</v>
      </c>
      <c r="U35" s="18">
        <v>1715</v>
      </c>
      <c r="V35" s="15" t="s">
        <v>92</v>
      </c>
      <c r="W35" s="16" t="s">
        <v>50</v>
      </c>
      <c r="X35" s="17">
        <v>3307</v>
      </c>
      <c r="Y35" s="17">
        <v>3722</v>
      </c>
      <c r="Z35" s="17">
        <v>77189</v>
      </c>
      <c r="AA35" s="27">
        <v>45.2</v>
      </c>
      <c r="AB35" s="28">
        <v>95.4</v>
      </c>
    </row>
    <row r="36" spans="1:28" ht="14.45" x14ac:dyDescent="0.3">
      <c r="A36" s="11" t="s">
        <v>93</v>
      </c>
      <c r="B36" s="12" t="s">
        <v>52</v>
      </c>
      <c r="C36" s="13">
        <v>63420</v>
      </c>
      <c r="D36" s="13">
        <v>6678</v>
      </c>
      <c r="E36" s="13">
        <v>70098</v>
      </c>
      <c r="F36" s="13">
        <v>4</v>
      </c>
      <c r="G36" s="14">
        <v>0</v>
      </c>
      <c r="H36" s="11" t="s">
        <v>93</v>
      </c>
      <c r="I36" s="12" t="s">
        <v>52</v>
      </c>
      <c r="J36" s="13">
        <v>49</v>
      </c>
      <c r="K36" s="13">
        <v>1</v>
      </c>
      <c r="L36" s="13">
        <v>9</v>
      </c>
      <c r="M36" s="13">
        <v>63</v>
      </c>
      <c r="N36" s="14">
        <v>4</v>
      </c>
      <c r="O36" s="11" t="s">
        <v>93</v>
      </c>
      <c r="P36" s="12" t="s">
        <v>52</v>
      </c>
      <c r="Q36" s="13">
        <v>801</v>
      </c>
      <c r="R36" s="13">
        <v>51</v>
      </c>
      <c r="S36" s="13">
        <v>852</v>
      </c>
      <c r="T36" s="13">
        <v>408</v>
      </c>
      <c r="U36" s="14">
        <v>2155</v>
      </c>
      <c r="V36" s="11" t="s">
        <v>93</v>
      </c>
      <c r="W36" s="12" t="s">
        <v>52</v>
      </c>
      <c r="X36" s="13">
        <v>3415</v>
      </c>
      <c r="Y36" s="13">
        <v>3478</v>
      </c>
      <c r="Z36" s="13">
        <v>66620</v>
      </c>
      <c r="AA36" s="25">
        <v>24.9</v>
      </c>
      <c r="AB36" s="26">
        <v>95</v>
      </c>
    </row>
    <row r="37" spans="1:28" ht="14.45" x14ac:dyDescent="0.3">
      <c r="A37" s="15" t="s">
        <v>94</v>
      </c>
      <c r="B37" s="16" t="s">
        <v>95</v>
      </c>
      <c r="C37" s="17">
        <v>878</v>
      </c>
      <c r="D37" s="17">
        <v>134</v>
      </c>
      <c r="E37" s="17">
        <v>1012</v>
      </c>
      <c r="F37" s="17">
        <v>1</v>
      </c>
      <c r="G37" s="18">
        <v>0</v>
      </c>
      <c r="H37" s="15" t="s">
        <v>94</v>
      </c>
      <c r="I37" s="16" t="s">
        <v>95</v>
      </c>
      <c r="J37" s="17">
        <v>1</v>
      </c>
      <c r="K37" s="17">
        <v>0</v>
      </c>
      <c r="L37" s="17">
        <v>2</v>
      </c>
      <c r="M37" s="17">
        <v>4</v>
      </c>
      <c r="N37" s="18">
        <v>0</v>
      </c>
      <c r="O37" s="15" t="s">
        <v>94</v>
      </c>
      <c r="P37" s="16" t="s">
        <v>95</v>
      </c>
      <c r="Q37" s="17">
        <v>10</v>
      </c>
      <c r="R37" s="17">
        <v>2</v>
      </c>
      <c r="S37" s="17">
        <v>12</v>
      </c>
      <c r="T37" s="17">
        <v>0</v>
      </c>
      <c r="U37" s="18">
        <v>14</v>
      </c>
      <c r="V37" s="15" t="s">
        <v>94</v>
      </c>
      <c r="W37" s="16" t="s">
        <v>95</v>
      </c>
      <c r="X37" s="17">
        <v>26</v>
      </c>
      <c r="Y37" s="17">
        <v>30</v>
      </c>
      <c r="Z37" s="17">
        <v>982</v>
      </c>
      <c r="AA37" s="27">
        <v>46.2</v>
      </c>
      <c r="AB37" s="28">
        <v>97</v>
      </c>
    </row>
    <row r="38" spans="1:28" ht="14.45" x14ac:dyDescent="0.3">
      <c r="A38" s="19" t="s">
        <v>96</v>
      </c>
      <c r="B38" s="20" t="s">
        <v>97</v>
      </c>
      <c r="C38" s="21">
        <v>8436</v>
      </c>
      <c r="D38" s="21">
        <v>968</v>
      </c>
      <c r="E38" s="21">
        <v>9404</v>
      </c>
      <c r="F38" s="21">
        <v>5</v>
      </c>
      <c r="G38" s="22">
        <v>0</v>
      </c>
      <c r="H38" s="19" t="s">
        <v>96</v>
      </c>
      <c r="I38" s="20" t="s">
        <v>97</v>
      </c>
      <c r="J38" s="21">
        <v>21</v>
      </c>
      <c r="K38" s="21">
        <v>0</v>
      </c>
      <c r="L38" s="21">
        <v>3</v>
      </c>
      <c r="M38" s="21">
        <v>29</v>
      </c>
      <c r="N38" s="22">
        <v>0</v>
      </c>
      <c r="O38" s="19" t="s">
        <v>96</v>
      </c>
      <c r="P38" s="20" t="s">
        <v>97</v>
      </c>
      <c r="Q38" s="21">
        <v>55</v>
      </c>
      <c r="R38" s="21">
        <v>8</v>
      </c>
      <c r="S38" s="21">
        <v>63</v>
      </c>
      <c r="T38" s="21">
        <v>2</v>
      </c>
      <c r="U38" s="22">
        <v>557</v>
      </c>
      <c r="V38" s="19" t="s">
        <v>96</v>
      </c>
      <c r="W38" s="20" t="s">
        <v>97</v>
      </c>
      <c r="X38" s="21">
        <v>622</v>
      </c>
      <c r="Y38" s="21">
        <v>651</v>
      </c>
      <c r="Z38" s="21">
        <v>8753</v>
      </c>
      <c r="AA38" s="31">
        <v>10.1</v>
      </c>
      <c r="AB38" s="32">
        <v>93.1</v>
      </c>
    </row>
    <row r="39" spans="1:28" ht="12" customHeight="1" x14ac:dyDescent="0.25">
      <c r="A39" s="23" t="s">
        <v>98</v>
      </c>
      <c r="G39" s="24" t="s">
        <v>99</v>
      </c>
      <c r="H39" s="23" t="s">
        <v>98</v>
      </c>
      <c r="N39" s="24" t="s">
        <v>100</v>
      </c>
      <c r="O39" s="23" t="s">
        <v>98</v>
      </c>
      <c r="U39" s="24" t="s">
        <v>101</v>
      </c>
      <c r="V39" s="23" t="s">
        <v>98</v>
      </c>
      <c r="AB39" s="24" t="s">
        <v>102</v>
      </c>
    </row>
    <row r="44" spans="1:28" x14ac:dyDescent="0.25">
      <c r="A44" s="48" t="s">
        <v>0</v>
      </c>
      <c r="B44" s="48"/>
      <c r="C44" s="48"/>
      <c r="D44" s="48"/>
      <c r="E44" s="48"/>
      <c r="F44" s="48"/>
      <c r="G44" s="48"/>
      <c r="H44" s="48" t="s">
        <v>0</v>
      </c>
      <c r="I44" s="48"/>
      <c r="J44" s="48"/>
      <c r="K44" s="48"/>
      <c r="L44" s="48"/>
      <c r="M44" s="48"/>
      <c r="N44" s="48"/>
      <c r="O44" s="48" t="s">
        <v>0</v>
      </c>
      <c r="P44" s="48"/>
      <c r="Q44" s="48"/>
      <c r="R44" s="48"/>
      <c r="S44" s="48"/>
      <c r="T44" s="48"/>
      <c r="U44" s="48"/>
      <c r="V44" s="48" t="s">
        <v>0</v>
      </c>
      <c r="W44" s="48"/>
      <c r="X44" s="48"/>
      <c r="Y44" s="48"/>
      <c r="Z44" s="48"/>
      <c r="AA44" s="48"/>
      <c r="AB44" s="48"/>
    </row>
    <row r="45" spans="1:28" x14ac:dyDescent="0.25">
      <c r="A45" s="48" t="s">
        <v>2</v>
      </c>
      <c r="B45" s="48"/>
      <c r="C45" s="48"/>
      <c r="D45" s="48"/>
      <c r="E45" s="48"/>
      <c r="F45" s="48"/>
      <c r="G45" s="48"/>
      <c r="H45" s="48" t="s">
        <v>2</v>
      </c>
      <c r="I45" s="48"/>
      <c r="J45" s="48"/>
      <c r="K45" s="48"/>
      <c r="L45" s="48"/>
      <c r="M45" s="48"/>
      <c r="N45" s="48"/>
      <c r="O45" s="48" t="s">
        <v>2</v>
      </c>
      <c r="P45" s="48"/>
      <c r="Q45" s="48"/>
      <c r="R45" s="48"/>
      <c r="S45" s="48"/>
      <c r="T45" s="48"/>
      <c r="U45" s="48"/>
      <c r="V45" s="48" t="s">
        <v>103</v>
      </c>
      <c r="W45" s="48"/>
      <c r="X45" s="48"/>
      <c r="Y45" s="48"/>
      <c r="Z45" s="48"/>
      <c r="AA45" s="48"/>
      <c r="AB45" s="48"/>
    </row>
    <row r="46" spans="1:28" ht="93" customHeight="1" x14ac:dyDescent="0.25">
      <c r="A46" s="4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6" t="s">
        <v>9</v>
      </c>
      <c r="H46" s="4" t="s">
        <v>3</v>
      </c>
      <c r="I46" s="1" t="s">
        <v>4</v>
      </c>
      <c r="J46" s="1" t="s">
        <v>10</v>
      </c>
      <c r="K46" s="1" t="s">
        <v>11</v>
      </c>
      <c r="L46" s="1" t="s">
        <v>12</v>
      </c>
      <c r="M46" s="2" t="s">
        <v>13</v>
      </c>
      <c r="N46" s="6" t="s">
        <v>14</v>
      </c>
      <c r="O46" s="4" t="s">
        <v>3</v>
      </c>
      <c r="P46" s="1" t="s">
        <v>4</v>
      </c>
      <c r="Q46" s="1" t="s">
        <v>15</v>
      </c>
      <c r="R46" s="1" t="s">
        <v>16</v>
      </c>
      <c r="S46" s="1" t="s">
        <v>17</v>
      </c>
      <c r="T46" s="1" t="s">
        <v>18</v>
      </c>
      <c r="U46" s="6" t="s">
        <v>19</v>
      </c>
      <c r="V46" s="4" t="s">
        <v>3</v>
      </c>
      <c r="W46" s="1" t="s">
        <v>4</v>
      </c>
      <c r="X46" s="1" t="s">
        <v>20</v>
      </c>
      <c r="Y46" s="1" t="s">
        <v>21</v>
      </c>
      <c r="Z46" s="1" t="s">
        <v>22</v>
      </c>
      <c r="AA46" s="1" t="s">
        <v>23</v>
      </c>
      <c r="AB46" s="6" t="s">
        <v>24</v>
      </c>
    </row>
    <row r="47" spans="1:28" x14ac:dyDescent="0.25">
      <c r="A47" s="33" t="s">
        <v>25</v>
      </c>
      <c r="B47" s="34" t="s">
        <v>26</v>
      </c>
      <c r="C47" s="34" t="s">
        <v>27</v>
      </c>
      <c r="D47" s="34" t="s">
        <v>28</v>
      </c>
      <c r="E47" s="34" t="s">
        <v>29</v>
      </c>
      <c r="F47" s="34" t="s">
        <v>30</v>
      </c>
      <c r="G47" s="35" t="s">
        <v>31</v>
      </c>
      <c r="H47" s="33" t="s">
        <v>25</v>
      </c>
      <c r="I47" s="34" t="s">
        <v>26</v>
      </c>
      <c r="J47" s="34" t="s">
        <v>32</v>
      </c>
      <c r="K47" s="34" t="s">
        <v>33</v>
      </c>
      <c r="L47" s="34" t="s">
        <v>34</v>
      </c>
      <c r="M47" s="34" t="s">
        <v>35</v>
      </c>
      <c r="N47" s="35" t="s">
        <v>36</v>
      </c>
      <c r="O47" s="33" t="s">
        <v>25</v>
      </c>
      <c r="P47" s="34" t="s">
        <v>26</v>
      </c>
      <c r="Q47" s="34" t="s">
        <v>37</v>
      </c>
      <c r="R47" s="34" t="s">
        <v>38</v>
      </c>
      <c r="S47" s="34" t="s">
        <v>39</v>
      </c>
      <c r="T47" s="34" t="s">
        <v>40</v>
      </c>
      <c r="U47" s="35" t="s">
        <v>41</v>
      </c>
      <c r="V47" s="33" t="s">
        <v>25</v>
      </c>
      <c r="W47" s="34" t="s">
        <v>26</v>
      </c>
      <c r="X47" s="34" t="s">
        <v>42</v>
      </c>
      <c r="Y47" s="34" t="s">
        <v>43</v>
      </c>
      <c r="Z47" s="34" t="s">
        <v>44</v>
      </c>
      <c r="AA47" s="34" t="s">
        <v>45</v>
      </c>
      <c r="AB47" s="35" t="s">
        <v>46</v>
      </c>
    </row>
    <row r="48" spans="1:28" x14ac:dyDescent="0.25">
      <c r="A48" s="40" t="s">
        <v>104</v>
      </c>
      <c r="B48" s="41" t="s">
        <v>105</v>
      </c>
      <c r="C48" s="42">
        <v>592</v>
      </c>
      <c r="D48" s="42">
        <v>8</v>
      </c>
      <c r="E48" s="42">
        <v>600</v>
      </c>
      <c r="F48" s="42">
        <v>0</v>
      </c>
      <c r="G48" s="43">
        <v>0</v>
      </c>
      <c r="H48" s="40" t="s">
        <v>104</v>
      </c>
      <c r="I48" s="41" t="s">
        <v>105</v>
      </c>
      <c r="J48" s="42">
        <v>0</v>
      </c>
      <c r="K48" s="42">
        <v>0</v>
      </c>
      <c r="L48" s="42">
        <v>0</v>
      </c>
      <c r="M48" s="42">
        <v>0</v>
      </c>
      <c r="N48" s="43">
        <v>0</v>
      </c>
      <c r="O48" s="40" t="s">
        <v>104</v>
      </c>
      <c r="P48" s="41" t="s">
        <v>105</v>
      </c>
      <c r="Q48" s="42">
        <v>0</v>
      </c>
      <c r="R48" s="42">
        <v>0</v>
      </c>
      <c r="S48" s="42">
        <v>0</v>
      </c>
      <c r="T48" s="42">
        <v>0</v>
      </c>
      <c r="U48" s="43">
        <v>3</v>
      </c>
      <c r="V48" s="40" t="s">
        <v>104</v>
      </c>
      <c r="W48" s="41" t="s">
        <v>105</v>
      </c>
      <c r="X48" s="42">
        <v>3</v>
      </c>
      <c r="Y48" s="42">
        <v>3</v>
      </c>
      <c r="Z48" s="42">
        <v>597</v>
      </c>
      <c r="AA48" s="44">
        <v>0</v>
      </c>
      <c r="AB48" s="45">
        <v>99.5</v>
      </c>
    </row>
    <row r="49" spans="1:28" ht="18.75" customHeight="1" x14ac:dyDescent="0.25">
      <c r="A49" s="15" t="s">
        <v>106</v>
      </c>
      <c r="B49" s="16" t="s">
        <v>107</v>
      </c>
      <c r="C49" s="17">
        <v>51</v>
      </c>
      <c r="D49" s="17">
        <v>3</v>
      </c>
      <c r="E49" s="17">
        <v>54</v>
      </c>
      <c r="F49" s="17">
        <v>0</v>
      </c>
      <c r="G49" s="18">
        <v>0</v>
      </c>
      <c r="H49" s="15" t="s">
        <v>106</v>
      </c>
      <c r="I49" s="16" t="s">
        <v>107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106</v>
      </c>
      <c r="P49" s="16" t="s">
        <v>107</v>
      </c>
      <c r="Q49" s="17">
        <v>0</v>
      </c>
      <c r="R49" s="17">
        <v>0</v>
      </c>
      <c r="S49" s="17">
        <v>0</v>
      </c>
      <c r="T49" s="17">
        <v>0</v>
      </c>
      <c r="U49" s="18">
        <v>0</v>
      </c>
      <c r="V49" s="15" t="s">
        <v>106</v>
      </c>
      <c r="W49" s="16" t="s">
        <v>107</v>
      </c>
      <c r="X49" s="17">
        <v>0</v>
      </c>
      <c r="Y49" s="17">
        <v>0</v>
      </c>
      <c r="Z49" s="17">
        <v>54</v>
      </c>
      <c r="AA49" s="27" t="s">
        <v>73</v>
      </c>
      <c r="AB49" s="28">
        <v>100</v>
      </c>
    </row>
    <row r="50" spans="1:28" ht="18.75" customHeight="1" x14ac:dyDescent="0.25">
      <c r="A50" s="11" t="s">
        <v>108</v>
      </c>
      <c r="B50" s="12" t="s">
        <v>109</v>
      </c>
      <c r="C50" s="13">
        <v>28327</v>
      </c>
      <c r="D50" s="13">
        <v>3857</v>
      </c>
      <c r="E50" s="13">
        <v>32184</v>
      </c>
      <c r="F50" s="13">
        <v>23</v>
      </c>
      <c r="G50" s="14">
        <v>1</v>
      </c>
      <c r="H50" s="11" t="s">
        <v>108</v>
      </c>
      <c r="I50" s="12" t="s">
        <v>109</v>
      </c>
      <c r="J50" s="13">
        <v>15</v>
      </c>
      <c r="K50" s="13">
        <v>0</v>
      </c>
      <c r="L50" s="13">
        <v>7</v>
      </c>
      <c r="M50" s="13">
        <v>46</v>
      </c>
      <c r="N50" s="14">
        <v>0</v>
      </c>
      <c r="O50" s="11" t="s">
        <v>108</v>
      </c>
      <c r="P50" s="12" t="s">
        <v>109</v>
      </c>
      <c r="Q50" s="13">
        <v>345</v>
      </c>
      <c r="R50" s="13">
        <v>32</v>
      </c>
      <c r="S50" s="13">
        <v>377</v>
      </c>
      <c r="T50" s="13">
        <v>96</v>
      </c>
      <c r="U50" s="14">
        <v>1966</v>
      </c>
      <c r="V50" s="11" t="s">
        <v>108</v>
      </c>
      <c r="W50" s="12" t="s">
        <v>109</v>
      </c>
      <c r="X50" s="13">
        <v>2439</v>
      </c>
      <c r="Y50" s="13">
        <v>2485</v>
      </c>
      <c r="Z50" s="13">
        <v>29699</v>
      </c>
      <c r="AA50" s="25">
        <v>15.5</v>
      </c>
      <c r="AB50" s="26">
        <v>92.3</v>
      </c>
    </row>
    <row r="51" spans="1:28" ht="18.75" customHeight="1" x14ac:dyDescent="0.25">
      <c r="A51" s="15" t="s">
        <v>110</v>
      </c>
      <c r="B51" s="16" t="s">
        <v>111</v>
      </c>
      <c r="C51" s="17">
        <v>689</v>
      </c>
      <c r="D51" s="17">
        <v>115</v>
      </c>
      <c r="E51" s="17">
        <v>804</v>
      </c>
      <c r="F51" s="17">
        <v>1</v>
      </c>
      <c r="G51" s="18">
        <v>0</v>
      </c>
      <c r="H51" s="15" t="s">
        <v>110</v>
      </c>
      <c r="I51" s="16" t="s">
        <v>111</v>
      </c>
      <c r="J51" s="17">
        <v>0</v>
      </c>
      <c r="K51" s="17">
        <v>0</v>
      </c>
      <c r="L51" s="17">
        <v>1</v>
      </c>
      <c r="M51" s="17">
        <v>2</v>
      </c>
      <c r="N51" s="18">
        <v>0</v>
      </c>
      <c r="O51" s="15" t="s">
        <v>110</v>
      </c>
      <c r="P51" s="16" t="s">
        <v>111</v>
      </c>
      <c r="Q51" s="17">
        <v>13</v>
      </c>
      <c r="R51" s="17">
        <v>0</v>
      </c>
      <c r="S51" s="17">
        <v>13</v>
      </c>
      <c r="T51" s="17">
        <v>3</v>
      </c>
      <c r="U51" s="18">
        <v>8</v>
      </c>
      <c r="V51" s="15" t="s">
        <v>110</v>
      </c>
      <c r="W51" s="16" t="s">
        <v>111</v>
      </c>
      <c r="X51" s="17">
        <v>24</v>
      </c>
      <c r="Y51" s="17">
        <v>26</v>
      </c>
      <c r="Z51" s="17">
        <v>778</v>
      </c>
      <c r="AA51" s="27">
        <v>54.2</v>
      </c>
      <c r="AB51" s="28">
        <v>96.8</v>
      </c>
    </row>
    <row r="52" spans="1:28" ht="18.75" customHeight="1" x14ac:dyDescent="0.25">
      <c r="A52" s="11" t="s">
        <v>112</v>
      </c>
      <c r="B52" s="12" t="s">
        <v>113</v>
      </c>
      <c r="C52" s="13">
        <v>207</v>
      </c>
      <c r="D52" s="13">
        <v>24</v>
      </c>
      <c r="E52" s="13">
        <v>231</v>
      </c>
      <c r="F52" s="13">
        <v>0</v>
      </c>
      <c r="G52" s="14">
        <v>0</v>
      </c>
      <c r="H52" s="11" t="s">
        <v>112</v>
      </c>
      <c r="I52" s="12" t="s">
        <v>113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112</v>
      </c>
      <c r="P52" s="12" t="s">
        <v>113</v>
      </c>
      <c r="Q52" s="13">
        <v>1</v>
      </c>
      <c r="R52" s="13">
        <v>0</v>
      </c>
      <c r="S52" s="13">
        <v>1</v>
      </c>
      <c r="T52" s="13">
        <v>0</v>
      </c>
      <c r="U52" s="14">
        <v>3</v>
      </c>
      <c r="V52" s="11" t="s">
        <v>112</v>
      </c>
      <c r="W52" s="12" t="s">
        <v>113</v>
      </c>
      <c r="X52" s="13">
        <v>4</v>
      </c>
      <c r="Y52" s="13">
        <v>4</v>
      </c>
      <c r="Z52" s="13">
        <v>227</v>
      </c>
      <c r="AA52" s="25">
        <v>25</v>
      </c>
      <c r="AB52" s="26">
        <v>98.3</v>
      </c>
    </row>
    <row r="53" spans="1:28" ht="18.75" customHeight="1" x14ac:dyDescent="0.25">
      <c r="A53" s="15" t="s">
        <v>114</v>
      </c>
      <c r="B53" s="16" t="s">
        <v>115</v>
      </c>
      <c r="C53" s="17">
        <v>109290</v>
      </c>
      <c r="D53" s="17">
        <v>19618</v>
      </c>
      <c r="E53" s="17">
        <v>128908</v>
      </c>
      <c r="F53" s="17">
        <v>14</v>
      </c>
      <c r="G53" s="18">
        <v>6</v>
      </c>
      <c r="H53" s="15" t="s">
        <v>114</v>
      </c>
      <c r="I53" s="16" t="s">
        <v>115</v>
      </c>
      <c r="J53" s="17">
        <v>411</v>
      </c>
      <c r="K53" s="17">
        <v>5</v>
      </c>
      <c r="L53" s="17">
        <v>10</v>
      </c>
      <c r="M53" s="17">
        <v>446</v>
      </c>
      <c r="N53" s="18">
        <v>1</v>
      </c>
      <c r="O53" s="15" t="s">
        <v>114</v>
      </c>
      <c r="P53" s="16" t="s">
        <v>115</v>
      </c>
      <c r="Q53" s="17">
        <v>1439</v>
      </c>
      <c r="R53" s="17">
        <v>235</v>
      </c>
      <c r="S53" s="17">
        <v>1674</v>
      </c>
      <c r="T53" s="17">
        <v>539</v>
      </c>
      <c r="U53" s="18">
        <v>3968</v>
      </c>
      <c r="V53" s="15" t="s">
        <v>114</v>
      </c>
      <c r="W53" s="16" t="s">
        <v>115</v>
      </c>
      <c r="X53" s="17">
        <v>6181</v>
      </c>
      <c r="Y53" s="17">
        <v>6627</v>
      </c>
      <c r="Z53" s="17">
        <v>122281</v>
      </c>
      <c r="AA53" s="27">
        <v>27.1</v>
      </c>
      <c r="AB53" s="28">
        <v>94.9</v>
      </c>
    </row>
    <row r="54" spans="1:28" ht="18.75" customHeight="1" x14ac:dyDescent="0.25">
      <c r="A54" s="11" t="s">
        <v>116</v>
      </c>
      <c r="B54" s="12" t="s">
        <v>117</v>
      </c>
      <c r="C54" s="13">
        <v>78774</v>
      </c>
      <c r="D54" s="13">
        <v>16224</v>
      </c>
      <c r="E54" s="13">
        <v>94998</v>
      </c>
      <c r="F54" s="13">
        <v>11</v>
      </c>
      <c r="G54" s="14">
        <v>3</v>
      </c>
      <c r="H54" s="11" t="s">
        <v>116</v>
      </c>
      <c r="I54" s="12" t="s">
        <v>117</v>
      </c>
      <c r="J54" s="13">
        <v>83</v>
      </c>
      <c r="K54" s="13">
        <v>5</v>
      </c>
      <c r="L54" s="13">
        <v>7</v>
      </c>
      <c r="M54" s="13">
        <v>109</v>
      </c>
      <c r="N54" s="14">
        <v>1</v>
      </c>
      <c r="O54" s="11" t="s">
        <v>116</v>
      </c>
      <c r="P54" s="12" t="s">
        <v>117</v>
      </c>
      <c r="Q54" s="13">
        <v>1254</v>
      </c>
      <c r="R54" s="13">
        <v>227</v>
      </c>
      <c r="S54" s="13">
        <v>1481</v>
      </c>
      <c r="T54" s="13">
        <v>419</v>
      </c>
      <c r="U54" s="14">
        <v>2374</v>
      </c>
      <c r="V54" s="11" t="s">
        <v>116</v>
      </c>
      <c r="W54" s="12" t="s">
        <v>117</v>
      </c>
      <c r="X54" s="13">
        <v>4274</v>
      </c>
      <c r="Y54" s="13">
        <v>4383</v>
      </c>
      <c r="Z54" s="13">
        <v>90615</v>
      </c>
      <c r="AA54" s="25">
        <v>34.700000000000003</v>
      </c>
      <c r="AB54" s="26">
        <v>95.4</v>
      </c>
    </row>
    <row r="55" spans="1:28" ht="18.75" customHeight="1" x14ac:dyDescent="0.25">
      <c r="A55" s="15" t="s">
        <v>118</v>
      </c>
      <c r="B55" s="16" t="s">
        <v>119</v>
      </c>
      <c r="C55" s="17">
        <v>769</v>
      </c>
      <c r="D55" s="17">
        <v>34</v>
      </c>
      <c r="E55" s="17">
        <v>803</v>
      </c>
      <c r="F55" s="17">
        <v>0</v>
      </c>
      <c r="G55" s="18">
        <v>0</v>
      </c>
      <c r="H55" s="15" t="s">
        <v>118</v>
      </c>
      <c r="I55" s="16" t="s">
        <v>119</v>
      </c>
      <c r="J55" s="17">
        <v>0</v>
      </c>
      <c r="K55" s="17">
        <v>0</v>
      </c>
      <c r="L55" s="17">
        <v>0</v>
      </c>
      <c r="M55" s="17">
        <v>0</v>
      </c>
      <c r="N55" s="18">
        <v>0</v>
      </c>
      <c r="O55" s="15" t="s">
        <v>118</v>
      </c>
      <c r="P55" s="16" t="s">
        <v>119</v>
      </c>
      <c r="Q55" s="17">
        <v>1</v>
      </c>
      <c r="R55" s="17">
        <v>3</v>
      </c>
      <c r="S55" s="17">
        <v>4</v>
      </c>
      <c r="T55" s="17">
        <v>0</v>
      </c>
      <c r="U55" s="18">
        <v>11</v>
      </c>
      <c r="V55" s="15" t="s">
        <v>118</v>
      </c>
      <c r="W55" s="16" t="s">
        <v>119</v>
      </c>
      <c r="X55" s="17">
        <v>15</v>
      </c>
      <c r="Y55" s="17">
        <v>15</v>
      </c>
      <c r="Z55" s="17">
        <v>788</v>
      </c>
      <c r="AA55" s="27">
        <v>26.7</v>
      </c>
      <c r="AB55" s="28">
        <v>98.1</v>
      </c>
    </row>
    <row r="56" spans="1:28" ht="18.75" customHeight="1" x14ac:dyDescent="0.25">
      <c r="A56" s="11" t="s">
        <v>120</v>
      </c>
      <c r="B56" s="12" t="s">
        <v>121</v>
      </c>
      <c r="C56" s="13">
        <v>685</v>
      </c>
      <c r="D56" s="13">
        <v>69</v>
      </c>
      <c r="E56" s="13">
        <v>754</v>
      </c>
      <c r="F56" s="13">
        <v>0</v>
      </c>
      <c r="G56" s="14">
        <v>0</v>
      </c>
      <c r="H56" s="11" t="s">
        <v>120</v>
      </c>
      <c r="I56" s="12" t="s">
        <v>121</v>
      </c>
      <c r="J56" s="13">
        <v>2</v>
      </c>
      <c r="K56" s="13">
        <v>0</v>
      </c>
      <c r="L56" s="13">
        <v>1</v>
      </c>
      <c r="M56" s="13">
        <v>3</v>
      </c>
      <c r="N56" s="14">
        <v>0</v>
      </c>
      <c r="O56" s="11" t="s">
        <v>120</v>
      </c>
      <c r="P56" s="12" t="s">
        <v>121</v>
      </c>
      <c r="Q56" s="13">
        <v>2</v>
      </c>
      <c r="R56" s="13">
        <v>0</v>
      </c>
      <c r="S56" s="13">
        <v>2</v>
      </c>
      <c r="T56" s="13">
        <v>1</v>
      </c>
      <c r="U56" s="14">
        <v>32</v>
      </c>
      <c r="V56" s="11" t="s">
        <v>120</v>
      </c>
      <c r="W56" s="12" t="s">
        <v>121</v>
      </c>
      <c r="X56" s="13">
        <v>35</v>
      </c>
      <c r="Y56" s="13">
        <v>38</v>
      </c>
      <c r="Z56" s="13">
        <v>716</v>
      </c>
      <c r="AA56" s="25">
        <v>5.7</v>
      </c>
      <c r="AB56" s="26">
        <v>95</v>
      </c>
    </row>
    <row r="57" spans="1:28" ht="18.75" customHeight="1" x14ac:dyDescent="0.25">
      <c r="A57" s="15" t="s">
        <v>122</v>
      </c>
      <c r="B57" s="16" t="s">
        <v>123</v>
      </c>
      <c r="C57" s="17">
        <v>192</v>
      </c>
      <c r="D57" s="17">
        <v>3</v>
      </c>
      <c r="E57" s="17">
        <v>195</v>
      </c>
      <c r="F57" s="17">
        <v>0</v>
      </c>
      <c r="G57" s="18">
        <v>0</v>
      </c>
      <c r="H57" s="15" t="s">
        <v>122</v>
      </c>
      <c r="I57" s="16" t="s">
        <v>123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122</v>
      </c>
      <c r="P57" s="16" t="s">
        <v>123</v>
      </c>
      <c r="Q57" s="17">
        <v>0</v>
      </c>
      <c r="R57" s="17">
        <v>0</v>
      </c>
      <c r="S57" s="17">
        <v>0</v>
      </c>
      <c r="T57" s="17">
        <v>0</v>
      </c>
      <c r="U57" s="18">
        <v>0</v>
      </c>
      <c r="V57" s="15" t="s">
        <v>122</v>
      </c>
      <c r="W57" s="16" t="s">
        <v>123</v>
      </c>
      <c r="X57" s="17">
        <v>0</v>
      </c>
      <c r="Y57" s="17">
        <v>0</v>
      </c>
      <c r="Z57" s="17">
        <v>195</v>
      </c>
      <c r="AA57" s="27" t="s">
        <v>73</v>
      </c>
      <c r="AB57" s="28">
        <v>100</v>
      </c>
    </row>
    <row r="58" spans="1:28" ht="18.75" customHeight="1" x14ac:dyDescent="0.25">
      <c r="A58" s="11" t="s">
        <v>124</v>
      </c>
      <c r="B58" s="12" t="s">
        <v>125</v>
      </c>
      <c r="C58" s="13">
        <v>28870</v>
      </c>
      <c r="D58" s="13">
        <v>3288</v>
      </c>
      <c r="E58" s="13">
        <v>32158</v>
      </c>
      <c r="F58" s="13">
        <v>3</v>
      </c>
      <c r="G58" s="14">
        <v>3</v>
      </c>
      <c r="H58" s="11" t="s">
        <v>124</v>
      </c>
      <c r="I58" s="12" t="s">
        <v>125</v>
      </c>
      <c r="J58" s="13">
        <v>326</v>
      </c>
      <c r="K58" s="13">
        <v>0</v>
      </c>
      <c r="L58" s="13">
        <v>2</v>
      </c>
      <c r="M58" s="13">
        <v>334</v>
      </c>
      <c r="N58" s="14">
        <v>0</v>
      </c>
      <c r="O58" s="11" t="s">
        <v>124</v>
      </c>
      <c r="P58" s="12" t="s">
        <v>125</v>
      </c>
      <c r="Q58" s="13">
        <v>182</v>
      </c>
      <c r="R58" s="13">
        <v>5</v>
      </c>
      <c r="S58" s="13">
        <v>187</v>
      </c>
      <c r="T58" s="13">
        <v>119</v>
      </c>
      <c r="U58" s="14">
        <v>1551</v>
      </c>
      <c r="V58" s="11" t="s">
        <v>124</v>
      </c>
      <c r="W58" s="12" t="s">
        <v>125</v>
      </c>
      <c r="X58" s="13">
        <v>1857</v>
      </c>
      <c r="Y58" s="13">
        <v>2191</v>
      </c>
      <c r="Z58" s="13">
        <v>29967</v>
      </c>
      <c r="AA58" s="25">
        <v>10.1</v>
      </c>
      <c r="AB58" s="26">
        <v>93.2</v>
      </c>
    </row>
    <row r="59" spans="1:28" ht="21" customHeight="1" x14ac:dyDescent="0.25">
      <c r="A59" s="15"/>
      <c r="B59" s="16" t="s">
        <v>126</v>
      </c>
      <c r="C59" s="17">
        <v>1950478</v>
      </c>
      <c r="D59" s="17">
        <v>258211</v>
      </c>
      <c r="E59" s="17">
        <v>2208689</v>
      </c>
      <c r="F59" s="17">
        <v>927</v>
      </c>
      <c r="G59" s="18">
        <v>330</v>
      </c>
      <c r="H59" s="15"/>
      <c r="I59" s="16" t="s">
        <v>126</v>
      </c>
      <c r="J59" s="17">
        <v>23693</v>
      </c>
      <c r="K59" s="17">
        <v>737</v>
      </c>
      <c r="L59" s="17">
        <v>2474</v>
      </c>
      <c r="M59" s="17">
        <v>28161</v>
      </c>
      <c r="N59" s="18">
        <v>373</v>
      </c>
      <c r="O59" s="15"/>
      <c r="P59" s="16" t="s">
        <v>126</v>
      </c>
      <c r="Q59" s="17">
        <v>28261</v>
      </c>
      <c r="R59" s="17">
        <v>4058</v>
      </c>
      <c r="S59" s="17">
        <v>32319</v>
      </c>
      <c r="T59" s="17">
        <v>7695</v>
      </c>
      <c r="U59" s="18">
        <v>94647</v>
      </c>
      <c r="V59" s="15"/>
      <c r="W59" s="16" t="s">
        <v>126</v>
      </c>
      <c r="X59" s="17">
        <v>134661</v>
      </c>
      <c r="Y59" s="17">
        <v>162822</v>
      </c>
      <c r="Z59" s="17">
        <v>2045867</v>
      </c>
      <c r="AA59" s="27">
        <v>24</v>
      </c>
      <c r="AB59" s="28">
        <v>92.6</v>
      </c>
    </row>
    <row r="60" spans="1:28" ht="17.25" customHeight="1" x14ac:dyDescent="0.25">
      <c r="A60" s="11" t="s">
        <v>127</v>
      </c>
      <c r="B60" s="12" t="s">
        <v>128</v>
      </c>
      <c r="C60" s="13">
        <v>77234</v>
      </c>
      <c r="D60" s="13">
        <v>10781</v>
      </c>
      <c r="E60" s="13">
        <v>88015</v>
      </c>
      <c r="F60" s="13">
        <v>145</v>
      </c>
      <c r="G60" s="14">
        <v>27</v>
      </c>
      <c r="H60" s="11" t="s">
        <v>127</v>
      </c>
      <c r="I60" s="12" t="s">
        <v>128</v>
      </c>
      <c r="J60" s="13">
        <v>303</v>
      </c>
      <c r="K60" s="13">
        <v>33</v>
      </c>
      <c r="L60" s="13">
        <v>65</v>
      </c>
      <c r="M60" s="13">
        <v>573</v>
      </c>
      <c r="N60" s="14">
        <v>6</v>
      </c>
      <c r="O60" s="11" t="s">
        <v>127</v>
      </c>
      <c r="P60" s="12" t="s">
        <v>128</v>
      </c>
      <c r="Q60" s="13">
        <v>660</v>
      </c>
      <c r="R60" s="13">
        <v>59</v>
      </c>
      <c r="S60" s="13">
        <v>719</v>
      </c>
      <c r="T60" s="13">
        <v>363</v>
      </c>
      <c r="U60" s="14">
        <v>3062</v>
      </c>
      <c r="V60" s="11" t="s">
        <v>127</v>
      </c>
      <c r="W60" s="12" t="s">
        <v>128</v>
      </c>
      <c r="X60" s="13">
        <v>4144</v>
      </c>
      <c r="Y60" s="13">
        <v>4717</v>
      </c>
      <c r="Z60" s="13">
        <v>83298</v>
      </c>
      <c r="AA60" s="25">
        <v>17.399999999999999</v>
      </c>
      <c r="AB60" s="26">
        <v>94.6</v>
      </c>
    </row>
    <row r="61" spans="1:28" ht="21" customHeight="1" x14ac:dyDescent="0.25">
      <c r="A61" s="15" t="s">
        <v>129</v>
      </c>
      <c r="B61" s="16" t="s">
        <v>130</v>
      </c>
      <c r="C61" s="17">
        <v>10586</v>
      </c>
      <c r="D61" s="17">
        <v>1394</v>
      </c>
      <c r="E61" s="17">
        <v>11980</v>
      </c>
      <c r="F61" s="17">
        <v>4</v>
      </c>
      <c r="G61" s="18">
        <v>5</v>
      </c>
      <c r="H61" s="15" t="s">
        <v>129</v>
      </c>
      <c r="I61" s="16" t="s">
        <v>130</v>
      </c>
      <c r="J61" s="17">
        <v>6</v>
      </c>
      <c r="K61" s="17">
        <v>0</v>
      </c>
      <c r="L61" s="17">
        <v>3</v>
      </c>
      <c r="M61" s="17">
        <v>18</v>
      </c>
      <c r="N61" s="18">
        <v>0</v>
      </c>
      <c r="O61" s="15" t="s">
        <v>129</v>
      </c>
      <c r="P61" s="16" t="s">
        <v>130</v>
      </c>
      <c r="Q61" s="17">
        <v>61</v>
      </c>
      <c r="R61" s="17">
        <v>15</v>
      </c>
      <c r="S61" s="17">
        <v>76</v>
      </c>
      <c r="T61" s="17">
        <v>13</v>
      </c>
      <c r="U61" s="18">
        <v>456</v>
      </c>
      <c r="V61" s="15" t="s">
        <v>129</v>
      </c>
      <c r="W61" s="16" t="s">
        <v>130</v>
      </c>
      <c r="X61" s="17">
        <v>545</v>
      </c>
      <c r="Y61" s="17">
        <v>563</v>
      </c>
      <c r="Z61" s="17">
        <v>11417</v>
      </c>
      <c r="AA61" s="27">
        <v>13.9</v>
      </c>
      <c r="AB61" s="28">
        <v>95.3</v>
      </c>
    </row>
    <row r="62" spans="1:28" ht="24.75" customHeight="1" x14ac:dyDescent="0.25">
      <c r="A62" s="11" t="s">
        <v>131</v>
      </c>
      <c r="B62" s="12" t="s">
        <v>132</v>
      </c>
      <c r="C62" s="13">
        <v>3168</v>
      </c>
      <c r="D62" s="13">
        <v>464</v>
      </c>
      <c r="E62" s="13">
        <v>3632</v>
      </c>
      <c r="F62" s="13">
        <v>1</v>
      </c>
      <c r="G62" s="14">
        <v>0</v>
      </c>
      <c r="H62" s="11" t="s">
        <v>131</v>
      </c>
      <c r="I62" s="12" t="s">
        <v>132</v>
      </c>
      <c r="J62" s="13">
        <v>0</v>
      </c>
      <c r="K62" s="13">
        <v>0</v>
      </c>
      <c r="L62" s="13">
        <v>0</v>
      </c>
      <c r="M62" s="13">
        <v>1</v>
      </c>
      <c r="N62" s="14">
        <v>0</v>
      </c>
      <c r="O62" s="11" t="s">
        <v>131</v>
      </c>
      <c r="P62" s="12" t="s">
        <v>132</v>
      </c>
      <c r="Q62" s="13">
        <v>16</v>
      </c>
      <c r="R62" s="13">
        <v>1</v>
      </c>
      <c r="S62" s="13">
        <v>17</v>
      </c>
      <c r="T62" s="13">
        <v>5</v>
      </c>
      <c r="U62" s="14">
        <v>197</v>
      </c>
      <c r="V62" s="11" t="s">
        <v>131</v>
      </c>
      <c r="W62" s="12" t="s">
        <v>132</v>
      </c>
      <c r="X62" s="13">
        <v>219</v>
      </c>
      <c r="Y62" s="13">
        <v>220</v>
      </c>
      <c r="Z62" s="13">
        <v>3412</v>
      </c>
      <c r="AA62" s="25">
        <v>7.8</v>
      </c>
      <c r="AB62" s="26">
        <v>93.9</v>
      </c>
    </row>
    <row r="63" spans="1:28" ht="21" customHeight="1" x14ac:dyDescent="0.25">
      <c r="A63" s="15" t="s">
        <v>133</v>
      </c>
      <c r="B63" s="16" t="s">
        <v>134</v>
      </c>
      <c r="C63" s="17">
        <v>991</v>
      </c>
      <c r="D63" s="17">
        <v>179</v>
      </c>
      <c r="E63" s="17">
        <v>1170</v>
      </c>
      <c r="F63" s="17">
        <v>1</v>
      </c>
      <c r="G63" s="18">
        <v>0</v>
      </c>
      <c r="H63" s="15" t="s">
        <v>133</v>
      </c>
      <c r="I63" s="16" t="s">
        <v>134</v>
      </c>
      <c r="J63" s="17">
        <v>0</v>
      </c>
      <c r="K63" s="17">
        <v>0</v>
      </c>
      <c r="L63" s="17">
        <v>0</v>
      </c>
      <c r="M63" s="17">
        <v>1</v>
      </c>
      <c r="N63" s="18">
        <v>0</v>
      </c>
      <c r="O63" s="15" t="s">
        <v>133</v>
      </c>
      <c r="P63" s="16" t="s">
        <v>134</v>
      </c>
      <c r="Q63" s="17">
        <v>3</v>
      </c>
      <c r="R63" s="17">
        <v>1</v>
      </c>
      <c r="S63" s="17">
        <v>4</v>
      </c>
      <c r="T63" s="17">
        <v>2</v>
      </c>
      <c r="U63" s="18">
        <v>65</v>
      </c>
      <c r="V63" s="15" t="s">
        <v>133</v>
      </c>
      <c r="W63" s="16" t="s">
        <v>134</v>
      </c>
      <c r="X63" s="17">
        <v>71</v>
      </c>
      <c r="Y63" s="17">
        <v>72</v>
      </c>
      <c r="Z63" s="17">
        <v>1098</v>
      </c>
      <c r="AA63" s="27">
        <v>5.6</v>
      </c>
      <c r="AB63" s="28">
        <v>93.8</v>
      </c>
    </row>
    <row r="64" spans="1:28" ht="21" customHeight="1" x14ac:dyDescent="0.25">
      <c r="A64" s="11" t="s">
        <v>135</v>
      </c>
      <c r="B64" s="12" t="s">
        <v>136</v>
      </c>
      <c r="C64" s="13">
        <v>1421</v>
      </c>
      <c r="D64" s="13">
        <v>170</v>
      </c>
      <c r="E64" s="13">
        <v>1591</v>
      </c>
      <c r="F64" s="13">
        <v>0</v>
      </c>
      <c r="G64" s="14">
        <v>0</v>
      </c>
      <c r="H64" s="11" t="s">
        <v>135</v>
      </c>
      <c r="I64" s="12" t="s">
        <v>136</v>
      </c>
      <c r="J64" s="13">
        <v>6</v>
      </c>
      <c r="K64" s="13">
        <v>0</v>
      </c>
      <c r="L64" s="13">
        <v>2</v>
      </c>
      <c r="M64" s="13">
        <v>8</v>
      </c>
      <c r="N64" s="14">
        <v>0</v>
      </c>
      <c r="O64" s="11" t="s">
        <v>135</v>
      </c>
      <c r="P64" s="12" t="s">
        <v>136</v>
      </c>
      <c r="Q64" s="13">
        <v>19</v>
      </c>
      <c r="R64" s="13">
        <v>0</v>
      </c>
      <c r="S64" s="13">
        <v>19</v>
      </c>
      <c r="T64" s="13">
        <v>0</v>
      </c>
      <c r="U64" s="14">
        <v>36</v>
      </c>
      <c r="V64" s="11" t="s">
        <v>135</v>
      </c>
      <c r="W64" s="12" t="s">
        <v>136</v>
      </c>
      <c r="X64" s="13">
        <v>55</v>
      </c>
      <c r="Y64" s="13">
        <v>63</v>
      </c>
      <c r="Z64" s="13">
        <v>1528</v>
      </c>
      <c r="AA64" s="29">
        <v>34.5</v>
      </c>
      <c r="AB64" s="26">
        <v>96</v>
      </c>
    </row>
    <row r="65" spans="1:28" ht="21" customHeight="1" x14ac:dyDescent="0.25">
      <c r="A65" s="15" t="s">
        <v>137</v>
      </c>
      <c r="B65" s="16" t="s">
        <v>138</v>
      </c>
      <c r="C65" s="17">
        <v>965</v>
      </c>
      <c r="D65" s="17">
        <v>96</v>
      </c>
      <c r="E65" s="17">
        <v>1061</v>
      </c>
      <c r="F65" s="17">
        <v>0</v>
      </c>
      <c r="G65" s="18">
        <v>0</v>
      </c>
      <c r="H65" s="15" t="s">
        <v>137</v>
      </c>
      <c r="I65" s="16" t="s">
        <v>138</v>
      </c>
      <c r="J65" s="17">
        <v>0</v>
      </c>
      <c r="K65" s="17">
        <v>0</v>
      </c>
      <c r="L65" s="17">
        <v>0</v>
      </c>
      <c r="M65" s="17">
        <v>0</v>
      </c>
      <c r="N65" s="18">
        <v>0</v>
      </c>
      <c r="O65" s="15" t="s">
        <v>137</v>
      </c>
      <c r="P65" s="16" t="s">
        <v>138</v>
      </c>
      <c r="Q65" s="17">
        <v>2</v>
      </c>
      <c r="R65" s="17">
        <v>13</v>
      </c>
      <c r="S65" s="17">
        <v>15</v>
      </c>
      <c r="T65" s="17">
        <v>1</v>
      </c>
      <c r="U65" s="18">
        <v>38</v>
      </c>
      <c r="V65" s="15" t="s">
        <v>137</v>
      </c>
      <c r="W65" s="16" t="s">
        <v>138</v>
      </c>
      <c r="X65" s="17">
        <v>54</v>
      </c>
      <c r="Y65" s="17">
        <v>54</v>
      </c>
      <c r="Z65" s="17">
        <v>1007</v>
      </c>
      <c r="AA65" s="27">
        <v>27.8</v>
      </c>
      <c r="AB65" s="28">
        <v>94.9</v>
      </c>
    </row>
    <row r="66" spans="1:28" ht="21" customHeight="1" x14ac:dyDescent="0.25">
      <c r="A66" s="11" t="s">
        <v>139</v>
      </c>
      <c r="B66" s="12" t="s">
        <v>140</v>
      </c>
      <c r="C66" s="13">
        <v>4041</v>
      </c>
      <c r="D66" s="13">
        <v>485</v>
      </c>
      <c r="E66" s="13">
        <v>4526</v>
      </c>
      <c r="F66" s="13">
        <v>2</v>
      </c>
      <c r="G66" s="14">
        <v>5</v>
      </c>
      <c r="H66" s="11" t="s">
        <v>139</v>
      </c>
      <c r="I66" s="12" t="s">
        <v>140</v>
      </c>
      <c r="J66" s="13">
        <v>0</v>
      </c>
      <c r="K66" s="13">
        <v>0</v>
      </c>
      <c r="L66" s="13">
        <v>1</v>
      </c>
      <c r="M66" s="13">
        <v>8</v>
      </c>
      <c r="N66" s="14">
        <v>0</v>
      </c>
      <c r="O66" s="11" t="s">
        <v>139</v>
      </c>
      <c r="P66" s="12" t="s">
        <v>140</v>
      </c>
      <c r="Q66" s="13">
        <v>21</v>
      </c>
      <c r="R66" s="13">
        <v>0</v>
      </c>
      <c r="S66" s="13">
        <v>21</v>
      </c>
      <c r="T66" s="13">
        <v>5</v>
      </c>
      <c r="U66" s="14">
        <v>120</v>
      </c>
      <c r="V66" s="11" t="s">
        <v>139</v>
      </c>
      <c r="W66" s="12" t="s">
        <v>140</v>
      </c>
      <c r="X66" s="13">
        <v>146</v>
      </c>
      <c r="Y66" s="13">
        <v>154</v>
      </c>
      <c r="Z66" s="13">
        <v>4372</v>
      </c>
      <c r="AA66" s="25">
        <v>14.4</v>
      </c>
      <c r="AB66" s="26">
        <v>96.6</v>
      </c>
    </row>
    <row r="67" spans="1:28" ht="21" customHeight="1" x14ac:dyDescent="0.25">
      <c r="A67" s="15" t="s">
        <v>141</v>
      </c>
      <c r="B67" s="16" t="s">
        <v>142</v>
      </c>
      <c r="C67" s="17">
        <v>3486</v>
      </c>
      <c r="D67" s="17">
        <v>531</v>
      </c>
      <c r="E67" s="17">
        <v>4017</v>
      </c>
      <c r="F67" s="17">
        <v>12</v>
      </c>
      <c r="G67" s="18">
        <v>1</v>
      </c>
      <c r="H67" s="15" t="s">
        <v>141</v>
      </c>
      <c r="I67" s="16" t="s">
        <v>142</v>
      </c>
      <c r="J67" s="17">
        <v>3</v>
      </c>
      <c r="K67" s="17">
        <v>0</v>
      </c>
      <c r="L67" s="17">
        <v>5</v>
      </c>
      <c r="M67" s="17">
        <v>21</v>
      </c>
      <c r="N67" s="18">
        <v>0</v>
      </c>
      <c r="O67" s="15" t="s">
        <v>141</v>
      </c>
      <c r="P67" s="16" t="s">
        <v>142</v>
      </c>
      <c r="Q67" s="17">
        <v>12</v>
      </c>
      <c r="R67" s="17">
        <v>10</v>
      </c>
      <c r="S67" s="17">
        <v>22</v>
      </c>
      <c r="T67" s="17">
        <v>3</v>
      </c>
      <c r="U67" s="18">
        <v>59</v>
      </c>
      <c r="V67" s="15" t="s">
        <v>141</v>
      </c>
      <c r="W67" s="16" t="s">
        <v>142</v>
      </c>
      <c r="X67" s="17">
        <v>84</v>
      </c>
      <c r="Y67" s="17">
        <v>105</v>
      </c>
      <c r="Z67" s="17">
        <v>3912</v>
      </c>
      <c r="AA67" s="30">
        <v>26.2</v>
      </c>
      <c r="AB67" s="28">
        <v>97.4</v>
      </c>
    </row>
    <row r="68" spans="1:28" ht="21" customHeight="1" x14ac:dyDescent="0.25">
      <c r="A68" s="11" t="s">
        <v>143</v>
      </c>
      <c r="B68" s="12" t="s">
        <v>144</v>
      </c>
      <c r="C68" s="13">
        <v>5848</v>
      </c>
      <c r="D68" s="13">
        <v>1837</v>
      </c>
      <c r="E68" s="13">
        <v>7685</v>
      </c>
      <c r="F68" s="13">
        <v>2</v>
      </c>
      <c r="G68" s="14">
        <v>1</v>
      </c>
      <c r="H68" s="11" t="s">
        <v>143</v>
      </c>
      <c r="I68" s="12" t="s">
        <v>144</v>
      </c>
      <c r="J68" s="13">
        <v>14</v>
      </c>
      <c r="K68" s="13">
        <v>0</v>
      </c>
      <c r="L68" s="13">
        <v>2</v>
      </c>
      <c r="M68" s="13">
        <v>19</v>
      </c>
      <c r="N68" s="14">
        <v>0</v>
      </c>
      <c r="O68" s="11" t="s">
        <v>143</v>
      </c>
      <c r="P68" s="12" t="s">
        <v>144</v>
      </c>
      <c r="Q68" s="13">
        <v>27</v>
      </c>
      <c r="R68" s="13">
        <v>241</v>
      </c>
      <c r="S68" s="13">
        <v>268</v>
      </c>
      <c r="T68" s="13">
        <v>10</v>
      </c>
      <c r="U68" s="14">
        <v>123</v>
      </c>
      <c r="V68" s="11" t="s">
        <v>143</v>
      </c>
      <c r="W68" s="12" t="s">
        <v>144</v>
      </c>
      <c r="X68" s="13">
        <v>401</v>
      </c>
      <c r="Y68" s="13">
        <v>420</v>
      </c>
      <c r="Z68" s="13">
        <v>7265</v>
      </c>
      <c r="AA68" s="25">
        <v>66.8</v>
      </c>
      <c r="AB68" s="26">
        <v>94.5</v>
      </c>
    </row>
    <row r="69" spans="1:28" ht="21" customHeight="1" x14ac:dyDescent="0.25">
      <c r="A69" s="15" t="s">
        <v>145</v>
      </c>
      <c r="B69" s="16" t="s">
        <v>146</v>
      </c>
      <c r="C69" s="17">
        <v>4793</v>
      </c>
      <c r="D69" s="17">
        <v>1694</v>
      </c>
      <c r="E69" s="17">
        <v>6487</v>
      </c>
      <c r="F69" s="17">
        <v>1</v>
      </c>
      <c r="G69" s="18">
        <v>0</v>
      </c>
      <c r="H69" s="15" t="s">
        <v>145</v>
      </c>
      <c r="I69" s="16" t="s">
        <v>146</v>
      </c>
      <c r="J69" s="17">
        <v>4</v>
      </c>
      <c r="K69" s="17">
        <v>0</v>
      </c>
      <c r="L69" s="17">
        <v>1</v>
      </c>
      <c r="M69" s="17">
        <v>6</v>
      </c>
      <c r="N69" s="18">
        <v>0</v>
      </c>
      <c r="O69" s="15" t="s">
        <v>145</v>
      </c>
      <c r="P69" s="16" t="s">
        <v>146</v>
      </c>
      <c r="Q69" s="17">
        <v>24</v>
      </c>
      <c r="R69" s="17">
        <v>234</v>
      </c>
      <c r="S69" s="17">
        <v>258</v>
      </c>
      <c r="T69" s="17">
        <v>7</v>
      </c>
      <c r="U69" s="18">
        <v>115</v>
      </c>
      <c r="V69" s="15" t="s">
        <v>145</v>
      </c>
      <c r="W69" s="16" t="s">
        <v>146</v>
      </c>
      <c r="X69" s="17">
        <v>380</v>
      </c>
      <c r="Y69" s="17">
        <v>386</v>
      </c>
      <c r="Z69" s="17">
        <v>6101</v>
      </c>
      <c r="AA69" s="27">
        <v>67.900000000000006</v>
      </c>
      <c r="AB69" s="28">
        <v>94</v>
      </c>
    </row>
    <row r="70" spans="1:28" ht="21" customHeight="1" x14ac:dyDescent="0.25">
      <c r="A70" s="11" t="s">
        <v>147</v>
      </c>
      <c r="B70" s="12" t="s">
        <v>148</v>
      </c>
      <c r="C70" s="13">
        <v>1055</v>
      </c>
      <c r="D70" s="13">
        <v>143</v>
      </c>
      <c r="E70" s="13">
        <v>1198</v>
      </c>
      <c r="F70" s="13">
        <v>1</v>
      </c>
      <c r="G70" s="14">
        <v>1</v>
      </c>
      <c r="H70" s="11" t="s">
        <v>147</v>
      </c>
      <c r="I70" s="12" t="s">
        <v>148</v>
      </c>
      <c r="J70" s="13">
        <v>10</v>
      </c>
      <c r="K70" s="13">
        <v>0</v>
      </c>
      <c r="L70" s="13">
        <v>1</v>
      </c>
      <c r="M70" s="13">
        <v>13</v>
      </c>
      <c r="N70" s="14">
        <v>0</v>
      </c>
      <c r="O70" s="11" t="s">
        <v>147</v>
      </c>
      <c r="P70" s="12" t="s">
        <v>148</v>
      </c>
      <c r="Q70" s="13">
        <v>3</v>
      </c>
      <c r="R70" s="13">
        <v>7</v>
      </c>
      <c r="S70" s="13">
        <v>10</v>
      </c>
      <c r="T70" s="13">
        <v>3</v>
      </c>
      <c r="U70" s="14">
        <v>8</v>
      </c>
      <c r="V70" s="11" t="s">
        <v>147</v>
      </c>
      <c r="W70" s="12" t="s">
        <v>148</v>
      </c>
      <c r="X70" s="13">
        <v>21</v>
      </c>
      <c r="Y70" s="13">
        <v>34</v>
      </c>
      <c r="Z70" s="13">
        <v>1164</v>
      </c>
      <c r="AA70" s="29">
        <v>47.6</v>
      </c>
      <c r="AB70" s="26">
        <v>97.2</v>
      </c>
    </row>
    <row r="71" spans="1:28" ht="15" customHeight="1" x14ac:dyDescent="0.25">
      <c r="A71" s="15" t="s">
        <v>149</v>
      </c>
      <c r="B71" s="16" t="s">
        <v>150</v>
      </c>
      <c r="C71" s="17">
        <v>255914</v>
      </c>
      <c r="D71" s="17">
        <v>63846</v>
      </c>
      <c r="E71" s="17">
        <v>319760</v>
      </c>
      <c r="F71" s="17">
        <v>311</v>
      </c>
      <c r="G71" s="18">
        <v>207</v>
      </c>
      <c r="H71" s="15" t="s">
        <v>149</v>
      </c>
      <c r="I71" s="16" t="s">
        <v>150</v>
      </c>
      <c r="J71" s="17">
        <v>311</v>
      </c>
      <c r="K71" s="17">
        <v>3</v>
      </c>
      <c r="L71" s="17">
        <v>195</v>
      </c>
      <c r="M71" s="17">
        <v>1027</v>
      </c>
      <c r="N71" s="18">
        <v>24</v>
      </c>
      <c r="O71" s="15" t="s">
        <v>149</v>
      </c>
      <c r="P71" s="16" t="s">
        <v>150</v>
      </c>
      <c r="Q71" s="17">
        <v>11400</v>
      </c>
      <c r="R71" s="17">
        <v>1027</v>
      </c>
      <c r="S71" s="17">
        <v>12427</v>
      </c>
      <c r="T71" s="17">
        <v>1091</v>
      </c>
      <c r="U71" s="18">
        <v>24991</v>
      </c>
      <c r="V71" s="15" t="s">
        <v>149</v>
      </c>
      <c r="W71" s="16" t="s">
        <v>150</v>
      </c>
      <c r="X71" s="17">
        <v>38509</v>
      </c>
      <c r="Y71" s="17">
        <v>39536</v>
      </c>
      <c r="Z71" s="17">
        <v>280224</v>
      </c>
      <c r="AA71" s="27">
        <v>32.299999999999997</v>
      </c>
      <c r="AB71" s="28">
        <v>87.6</v>
      </c>
    </row>
    <row r="72" spans="1:28" ht="15" customHeight="1" x14ac:dyDescent="0.25">
      <c r="A72" s="11" t="s">
        <v>151</v>
      </c>
      <c r="B72" s="12" t="s">
        <v>152</v>
      </c>
      <c r="C72" s="13">
        <v>151412</v>
      </c>
      <c r="D72" s="13">
        <v>41154</v>
      </c>
      <c r="E72" s="13">
        <v>192566</v>
      </c>
      <c r="F72" s="13">
        <v>200</v>
      </c>
      <c r="G72" s="14">
        <v>163</v>
      </c>
      <c r="H72" s="11" t="s">
        <v>151</v>
      </c>
      <c r="I72" s="12" t="s">
        <v>152</v>
      </c>
      <c r="J72" s="13">
        <v>158</v>
      </c>
      <c r="K72" s="13">
        <v>0</v>
      </c>
      <c r="L72" s="13">
        <v>143</v>
      </c>
      <c r="M72" s="13">
        <v>664</v>
      </c>
      <c r="N72" s="14">
        <v>14</v>
      </c>
      <c r="O72" s="11" t="s">
        <v>151</v>
      </c>
      <c r="P72" s="12" t="s">
        <v>152</v>
      </c>
      <c r="Q72" s="13">
        <v>7286</v>
      </c>
      <c r="R72" s="13">
        <v>630</v>
      </c>
      <c r="S72" s="13">
        <v>7916</v>
      </c>
      <c r="T72" s="13">
        <v>691</v>
      </c>
      <c r="U72" s="14">
        <v>17742</v>
      </c>
      <c r="V72" s="11" t="s">
        <v>151</v>
      </c>
      <c r="W72" s="12" t="s">
        <v>152</v>
      </c>
      <c r="X72" s="13">
        <v>26349</v>
      </c>
      <c r="Y72" s="13">
        <v>27013</v>
      </c>
      <c r="Z72" s="13">
        <v>165553</v>
      </c>
      <c r="AA72" s="25">
        <v>30</v>
      </c>
      <c r="AB72" s="26">
        <v>86</v>
      </c>
    </row>
    <row r="73" spans="1:28" x14ac:dyDescent="0.25">
      <c r="A73" s="15" t="s">
        <v>153</v>
      </c>
      <c r="B73" s="16" t="s">
        <v>154</v>
      </c>
      <c r="C73" s="17">
        <v>87026</v>
      </c>
      <c r="D73" s="17">
        <v>18941</v>
      </c>
      <c r="E73" s="17">
        <v>105967</v>
      </c>
      <c r="F73" s="17">
        <v>96</v>
      </c>
      <c r="G73" s="18">
        <v>42</v>
      </c>
      <c r="H73" s="15" t="s">
        <v>153</v>
      </c>
      <c r="I73" s="16" t="s">
        <v>154</v>
      </c>
      <c r="J73" s="17">
        <v>136</v>
      </c>
      <c r="K73" s="17">
        <v>0</v>
      </c>
      <c r="L73" s="17">
        <v>45</v>
      </c>
      <c r="M73" s="17">
        <v>319</v>
      </c>
      <c r="N73" s="18">
        <v>8</v>
      </c>
      <c r="O73" s="15" t="s">
        <v>153</v>
      </c>
      <c r="P73" s="16" t="s">
        <v>154</v>
      </c>
      <c r="Q73" s="17">
        <v>3735</v>
      </c>
      <c r="R73" s="17">
        <v>366</v>
      </c>
      <c r="S73" s="17">
        <v>4101</v>
      </c>
      <c r="T73" s="17">
        <v>344</v>
      </c>
      <c r="U73" s="18">
        <v>6029</v>
      </c>
      <c r="V73" s="15" t="s">
        <v>153</v>
      </c>
      <c r="W73" s="16" t="s">
        <v>154</v>
      </c>
      <c r="X73" s="17">
        <v>10474</v>
      </c>
      <c r="Y73" s="17">
        <v>10793</v>
      </c>
      <c r="Z73" s="17">
        <v>95174</v>
      </c>
      <c r="AA73" s="27">
        <v>39.200000000000003</v>
      </c>
      <c r="AB73" s="28">
        <v>89.8</v>
      </c>
    </row>
    <row r="74" spans="1:28" x14ac:dyDescent="0.25">
      <c r="A74" s="11" t="s">
        <v>155</v>
      </c>
      <c r="B74" s="12" t="s">
        <v>156</v>
      </c>
      <c r="C74" s="13">
        <v>8976</v>
      </c>
      <c r="D74" s="13">
        <v>3124</v>
      </c>
      <c r="E74" s="13">
        <v>12100</v>
      </c>
      <c r="F74" s="13">
        <v>15</v>
      </c>
      <c r="G74" s="14">
        <v>1</v>
      </c>
      <c r="H74" s="11" t="s">
        <v>155</v>
      </c>
      <c r="I74" s="12" t="s">
        <v>156</v>
      </c>
      <c r="J74" s="13">
        <v>15</v>
      </c>
      <c r="K74" s="13">
        <v>0</v>
      </c>
      <c r="L74" s="13">
        <v>5</v>
      </c>
      <c r="M74" s="13">
        <v>36</v>
      </c>
      <c r="N74" s="14">
        <v>2</v>
      </c>
      <c r="O74" s="11" t="s">
        <v>155</v>
      </c>
      <c r="P74" s="12" t="s">
        <v>156</v>
      </c>
      <c r="Q74" s="13">
        <v>207</v>
      </c>
      <c r="R74" s="13">
        <v>19</v>
      </c>
      <c r="S74" s="13">
        <v>226</v>
      </c>
      <c r="T74" s="13">
        <v>30</v>
      </c>
      <c r="U74" s="14">
        <v>917</v>
      </c>
      <c r="V74" s="11" t="s">
        <v>155</v>
      </c>
      <c r="W74" s="12" t="s">
        <v>156</v>
      </c>
      <c r="X74" s="13">
        <v>1173</v>
      </c>
      <c r="Y74" s="13">
        <v>1209</v>
      </c>
      <c r="Z74" s="13">
        <v>10891</v>
      </c>
      <c r="AA74" s="25">
        <v>19.3</v>
      </c>
      <c r="AB74" s="26">
        <v>90</v>
      </c>
    </row>
    <row r="75" spans="1:28" x14ac:dyDescent="0.25">
      <c r="A75" s="15" t="s">
        <v>157</v>
      </c>
      <c r="B75" s="16" t="s">
        <v>158</v>
      </c>
      <c r="C75" s="17">
        <v>3657</v>
      </c>
      <c r="D75" s="17">
        <v>426</v>
      </c>
      <c r="E75" s="17">
        <v>4083</v>
      </c>
      <c r="F75" s="17">
        <v>0</v>
      </c>
      <c r="G75" s="18">
        <v>0</v>
      </c>
      <c r="H75" s="15" t="s">
        <v>157</v>
      </c>
      <c r="I75" s="16" t="s">
        <v>158</v>
      </c>
      <c r="J75" s="17">
        <v>0</v>
      </c>
      <c r="K75" s="17">
        <v>0</v>
      </c>
      <c r="L75" s="17">
        <v>0</v>
      </c>
      <c r="M75" s="17">
        <v>0</v>
      </c>
      <c r="N75" s="18">
        <v>0</v>
      </c>
      <c r="O75" s="15" t="s">
        <v>157</v>
      </c>
      <c r="P75" s="16" t="s">
        <v>158</v>
      </c>
      <c r="Q75" s="17">
        <v>40</v>
      </c>
      <c r="R75" s="17">
        <v>7</v>
      </c>
      <c r="S75" s="17">
        <v>47</v>
      </c>
      <c r="T75" s="17">
        <v>3</v>
      </c>
      <c r="U75" s="18">
        <v>171</v>
      </c>
      <c r="V75" s="15" t="s">
        <v>157</v>
      </c>
      <c r="W75" s="16" t="s">
        <v>158</v>
      </c>
      <c r="X75" s="17">
        <v>221</v>
      </c>
      <c r="Y75" s="17">
        <v>221</v>
      </c>
      <c r="Z75" s="17">
        <v>3862</v>
      </c>
      <c r="AA75" s="27">
        <v>21.3</v>
      </c>
      <c r="AB75" s="28">
        <v>94.6</v>
      </c>
    </row>
    <row r="76" spans="1:28" x14ac:dyDescent="0.25">
      <c r="A76" s="11" t="s">
        <v>159</v>
      </c>
      <c r="B76" s="12" t="s">
        <v>160</v>
      </c>
      <c r="C76" s="13">
        <v>4843</v>
      </c>
      <c r="D76" s="13">
        <v>201</v>
      </c>
      <c r="E76" s="13">
        <v>5044</v>
      </c>
      <c r="F76" s="13">
        <v>0</v>
      </c>
      <c r="G76" s="14">
        <v>1</v>
      </c>
      <c r="H76" s="11" t="s">
        <v>159</v>
      </c>
      <c r="I76" s="12" t="s">
        <v>160</v>
      </c>
      <c r="J76" s="13">
        <v>2</v>
      </c>
      <c r="K76" s="13">
        <v>3</v>
      </c>
      <c r="L76" s="13">
        <v>2</v>
      </c>
      <c r="M76" s="13">
        <v>8</v>
      </c>
      <c r="N76" s="14">
        <v>0</v>
      </c>
      <c r="O76" s="11" t="s">
        <v>159</v>
      </c>
      <c r="P76" s="12" t="s">
        <v>160</v>
      </c>
      <c r="Q76" s="13">
        <v>132</v>
      </c>
      <c r="R76" s="13">
        <v>5</v>
      </c>
      <c r="S76" s="13">
        <v>137</v>
      </c>
      <c r="T76" s="13">
        <v>23</v>
      </c>
      <c r="U76" s="14">
        <v>132</v>
      </c>
      <c r="V76" s="11" t="s">
        <v>159</v>
      </c>
      <c r="W76" s="12" t="s">
        <v>160</v>
      </c>
      <c r="X76" s="13">
        <v>292</v>
      </c>
      <c r="Y76" s="13">
        <v>300</v>
      </c>
      <c r="Z76" s="13">
        <v>4744</v>
      </c>
      <c r="AA76" s="25">
        <v>46.9</v>
      </c>
      <c r="AB76" s="26">
        <v>94.1</v>
      </c>
    </row>
    <row r="77" spans="1:28" ht="25.5" x14ac:dyDescent="0.25">
      <c r="A77" s="15" t="s">
        <v>161</v>
      </c>
      <c r="B77" s="16" t="s">
        <v>162</v>
      </c>
      <c r="C77" s="17">
        <v>543</v>
      </c>
      <c r="D77" s="17">
        <v>9</v>
      </c>
      <c r="E77" s="17">
        <v>552</v>
      </c>
      <c r="F77" s="17">
        <v>0</v>
      </c>
      <c r="G77" s="18">
        <v>0</v>
      </c>
      <c r="H77" s="15" t="s">
        <v>161</v>
      </c>
      <c r="I77" s="16" t="s">
        <v>162</v>
      </c>
      <c r="J77" s="17">
        <v>0</v>
      </c>
      <c r="K77" s="17">
        <v>0</v>
      </c>
      <c r="L77" s="17">
        <v>0</v>
      </c>
      <c r="M77" s="17">
        <v>0</v>
      </c>
      <c r="N77" s="18">
        <v>0</v>
      </c>
      <c r="O77" s="15" t="s">
        <v>161</v>
      </c>
      <c r="P77" s="16" t="s">
        <v>162</v>
      </c>
      <c r="Q77" s="17">
        <v>1</v>
      </c>
      <c r="R77" s="17">
        <v>0</v>
      </c>
      <c r="S77" s="17">
        <v>1</v>
      </c>
      <c r="T77" s="17">
        <v>5</v>
      </c>
      <c r="U77" s="18">
        <v>2</v>
      </c>
      <c r="V77" s="15" t="s">
        <v>161</v>
      </c>
      <c r="W77" s="16" t="s">
        <v>162</v>
      </c>
      <c r="X77" s="17">
        <v>8</v>
      </c>
      <c r="Y77" s="17">
        <v>8</v>
      </c>
      <c r="Z77" s="17">
        <v>544</v>
      </c>
      <c r="AA77" s="27">
        <v>12.5</v>
      </c>
      <c r="AB77" s="28">
        <v>98.6</v>
      </c>
    </row>
    <row r="78" spans="1:28" x14ac:dyDescent="0.25">
      <c r="A78" s="36"/>
      <c r="B78" s="37" t="s">
        <v>163</v>
      </c>
      <c r="C78" s="38">
        <v>353611</v>
      </c>
      <c r="D78" s="38">
        <v>78398</v>
      </c>
      <c r="E78" s="38">
        <v>432009</v>
      </c>
      <c r="F78" s="38">
        <v>474</v>
      </c>
      <c r="G78" s="39">
        <v>241</v>
      </c>
      <c r="H78" s="37"/>
      <c r="I78" s="38" t="s">
        <v>163</v>
      </c>
      <c r="J78" s="38">
        <v>637</v>
      </c>
      <c r="K78" s="38">
        <v>36</v>
      </c>
      <c r="L78" s="38">
        <v>270</v>
      </c>
      <c r="M78" s="38">
        <v>1658</v>
      </c>
      <c r="N78" s="38">
        <v>30</v>
      </c>
      <c r="O78" s="47"/>
      <c r="P78" s="38" t="s">
        <v>163</v>
      </c>
      <c r="Q78" s="37">
        <v>12161</v>
      </c>
      <c r="R78" s="37">
        <v>1352</v>
      </c>
      <c r="S78" s="38">
        <v>13513</v>
      </c>
      <c r="T78" s="38">
        <v>1485</v>
      </c>
      <c r="U78" s="39">
        <v>28693</v>
      </c>
      <c r="V78" s="38"/>
      <c r="W78" s="38" t="s">
        <v>163</v>
      </c>
      <c r="X78" s="38">
        <v>43691</v>
      </c>
      <c r="Y78" s="38">
        <v>45349</v>
      </c>
      <c r="Z78" s="38">
        <v>386660</v>
      </c>
      <c r="AA78" s="38">
        <v>30.9</v>
      </c>
      <c r="AB78" s="39">
        <v>89.5</v>
      </c>
    </row>
    <row r="79" spans="1:28" x14ac:dyDescent="0.25">
      <c r="A79" s="36"/>
      <c r="B79" s="37" t="s">
        <v>164</v>
      </c>
      <c r="C79" s="38">
        <v>2304089</v>
      </c>
      <c r="D79" s="38">
        <v>336609</v>
      </c>
      <c r="E79" s="38">
        <v>2640698</v>
      </c>
      <c r="F79" s="38">
        <v>1401</v>
      </c>
      <c r="G79" s="39">
        <v>571</v>
      </c>
      <c r="H79" s="37"/>
      <c r="I79" s="38" t="s">
        <v>164</v>
      </c>
      <c r="J79" s="38">
        <v>24330</v>
      </c>
      <c r="K79" s="38">
        <v>773</v>
      </c>
      <c r="L79" s="38">
        <v>2744</v>
      </c>
      <c r="M79" s="38">
        <v>29819</v>
      </c>
      <c r="N79" s="38">
        <v>403</v>
      </c>
      <c r="O79" s="47"/>
      <c r="P79" s="38" t="s">
        <v>164</v>
      </c>
      <c r="Q79" s="37">
        <v>40422</v>
      </c>
      <c r="R79" s="37">
        <v>5410</v>
      </c>
      <c r="S79" s="38">
        <v>45832</v>
      </c>
      <c r="T79" s="38">
        <v>9180</v>
      </c>
      <c r="U79" s="39">
        <v>123340</v>
      </c>
      <c r="V79" s="38"/>
      <c r="W79" s="38" t="s">
        <v>164</v>
      </c>
      <c r="X79" s="38">
        <v>178352</v>
      </c>
      <c r="Y79" s="38">
        <v>208171</v>
      </c>
      <c r="Z79" s="38">
        <v>2432527</v>
      </c>
      <c r="AA79" s="38">
        <v>25.7</v>
      </c>
      <c r="AB79" s="39">
        <v>92.1</v>
      </c>
    </row>
    <row r="80" spans="1:28" s="46" customFormat="1" ht="12.75" x14ac:dyDescent="0.2">
      <c r="A80" s="46" t="s">
        <v>98</v>
      </c>
      <c r="G80" s="24" t="s">
        <v>165</v>
      </c>
      <c r="H80" s="46" t="s">
        <v>98</v>
      </c>
      <c r="N80" s="24" t="s">
        <v>166</v>
      </c>
      <c r="O80" s="46" t="s">
        <v>98</v>
      </c>
      <c r="U80" s="24" t="s">
        <v>167</v>
      </c>
      <c r="V80" s="46" t="s">
        <v>98</v>
      </c>
      <c r="AB80" s="24" t="s">
        <v>168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2026-01-14T05:39:15Z</cp:lastPrinted>
  <dcterms:created xsi:type="dcterms:W3CDTF">2025-11-25T18:07:33Z</dcterms:created>
  <dcterms:modified xsi:type="dcterms:W3CDTF">2026-04-02T06:20:53Z</dcterms:modified>
</cp:coreProperties>
</file>